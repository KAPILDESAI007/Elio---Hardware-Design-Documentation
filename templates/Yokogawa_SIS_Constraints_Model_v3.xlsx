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ing\Others\Python\Cloud App Projects\templates\"/>
    </mc:Choice>
  </mc:AlternateContent>
  <xr:revisionPtr revIDLastSave="0" documentId="13_ncr:1_{E561AC05-0409-491E-B9FA-485E225FAE88}" xr6:coauthVersionLast="47" xr6:coauthVersionMax="47" xr10:uidLastSave="{00000000-0000-0000-0000-000000000000}"/>
  <bookViews>
    <workbookView xWindow="8004" yWindow="1260" windowWidth="13608" windowHeight="9648" tabRatio="781" activeTab="1" xr2:uid="{00000000-000D-0000-FFFF-FFFF00000000}"/>
  </bookViews>
  <sheets>
    <sheet name="Controller_Limits" sheetId="1" r:id="rId1"/>
    <sheet name="Mounting_Rule" sheetId="6" r:id="rId2"/>
    <sheet name="IO_Module_Catalog_Main" sheetId="7" r:id="rId3"/>
    <sheet name="IO_Module_Catalog" sheetId="2" r:id="rId4"/>
    <sheet name="NIO_System_Constraints" sheetId="3" r:id="rId5"/>
    <sheet name="NIO_Ambient_Current_Limits" sheetId="4" r:id="rId6"/>
  </sheets>
  <definedNames>
    <definedName name="_xlnm._FilterDatabase" localSheetId="0" hidden="1">Controller_Limits!$A$1:$I$1</definedName>
    <definedName name="_xlnm._FilterDatabase" localSheetId="3" hidden="1">IO_Module_Catalog!$A$1:$U$18</definedName>
    <definedName name="_xlnm._FilterDatabase" localSheetId="2" hidden="1">IO_Module_Catalog_Main!$A$1:$U$21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</calcChain>
</file>

<file path=xl/sharedStrings.xml><?xml version="1.0" encoding="utf-8"?>
<sst xmlns="http://schemas.openxmlformats.org/spreadsheetml/2006/main" count="687" uniqueCount="127">
  <si>
    <t>Controller_Model</t>
  </si>
  <si>
    <t>System_Type</t>
  </si>
  <si>
    <t>Supports_NIO</t>
  </si>
  <si>
    <t>Supports_FIO</t>
  </si>
  <si>
    <t>Max_NIU_Nodes</t>
  </si>
  <si>
    <t>Max_NIO_IO_Units</t>
  </si>
  <si>
    <t>Max_Safety_Nodes</t>
  </si>
  <si>
    <t>Max_FIO_Modules</t>
  </si>
  <si>
    <t>Max_Dual_Red_Modules</t>
  </si>
  <si>
    <t>S2SC70S</t>
  </si>
  <si>
    <t>Safety</t>
  </si>
  <si>
    <t>Yes</t>
  </si>
  <si>
    <t>S2SC70D</t>
  </si>
  <si>
    <t>SCS60S</t>
  </si>
  <si>
    <t>No</t>
  </si>
  <si>
    <t>SCS60D</t>
  </si>
  <si>
    <t>SCS50S</t>
  </si>
  <si>
    <t>SCS50D</t>
  </si>
  <si>
    <t>Family</t>
  </si>
  <si>
    <t>Module</t>
  </si>
  <si>
    <t>IO_Type</t>
  </si>
  <si>
    <t>Signal_Type</t>
  </si>
  <si>
    <t>Nominal_Channels</t>
  </si>
  <si>
    <t>Supports_HART</t>
  </si>
  <si>
    <t>Description</t>
  </si>
  <si>
    <t>Wiring</t>
  </si>
  <si>
    <t>Ambient_Max_C</t>
  </si>
  <si>
    <t>Usable_Channels</t>
  </si>
  <si>
    <t>CoeffA_Single</t>
  </si>
  <si>
    <t>CoeffA_Dual</t>
  </si>
  <si>
    <t>CoeffB_Single</t>
  </si>
  <si>
    <t>CoeffB_Dual</t>
  </si>
  <si>
    <t>Remarks</t>
  </si>
  <si>
    <t>Suffix_Signal_Type</t>
  </si>
  <si>
    <t>Suffix_Temperature</t>
  </si>
  <si>
    <t>Suffix_Explosion</t>
  </si>
  <si>
    <t>Suffix_Redundancy</t>
  </si>
  <si>
    <t>Model_Number_Pattern</t>
  </si>
  <si>
    <t>Example_Full_Model</t>
  </si>
  <si>
    <t>FIO</t>
  </si>
  <si>
    <t>SAI143-S</t>
  </si>
  <si>
    <t>AI</t>
  </si>
  <si>
    <t>4-20mA</t>
  </si>
  <si>
    <t>Analog Input Module (4 to 20mA, 16-ch, module isolation) – Standard type</t>
  </si>
  <si>
    <t>2-wire</t>
  </si>
  <si>
    <t>Normal</t>
  </si>
  <si>
    <t>S</t>
  </si>
  <si>
    <t>3</t>
  </si>
  <si>
    <t>N</t>
  </si>
  <si>
    <t>SAI143-S-{SIG}{TEMP}{EX}{RED}</t>
  </si>
  <si>
    <t>SAI143-S-S3SN</t>
  </si>
  <si>
    <t>Derated</t>
  </si>
  <si>
    <t>High Temp</t>
  </si>
  <si>
    <t>4-wire</t>
  </si>
  <si>
    <t>SAI143-H</t>
  </si>
  <si>
    <t>Analog Input Module (4 to 20mA, 16-ch, module isolation) – HART type</t>
  </si>
  <si>
    <t>HART</t>
  </si>
  <si>
    <t>SAI143-H-{SIG}{TEMP}{EX}{RED}</t>
  </si>
  <si>
    <t>SAI143-H-S3SN</t>
  </si>
  <si>
    <t>SDV144-S</t>
  </si>
  <si>
    <t>DI</t>
  </si>
  <si>
    <t>24VDC</t>
  </si>
  <si>
    <t>Digital Input Module (24V DC, 16 channels, module isolation)</t>
  </si>
  <si>
    <t>NA</t>
  </si>
  <si>
    <t>SDV144-S-{SIG}{TEMP}{EX}{RED}</t>
  </si>
  <si>
    <t>SDV144-S-S3SN</t>
  </si>
  <si>
    <t>SDV541-S</t>
  </si>
  <si>
    <t>DO</t>
  </si>
  <si>
    <t>Digital Output Module (24V DC, 16 channels, module isolation)</t>
  </si>
  <si>
    <t>SDV541-S-{SIG}{TEMP}{EX}{RED}</t>
  </si>
  <si>
    <t>SDV541-S-S3SN</t>
  </si>
  <si>
    <t>NIO</t>
  </si>
  <si>
    <t>S2MMM843</t>
  </si>
  <si>
    <t>Mixed</t>
  </si>
  <si>
    <t>Analog and Digital I/O Module (16-channels, isolated)</t>
  </si>
  <si>
    <t>Configurable</t>
  </si>
  <si>
    <t>N-IO</t>
  </si>
  <si>
    <t>SS</t>
  </si>
  <si>
    <t>S2MMM843-{SIG}{TEMP}{EX}{RED}</t>
  </si>
  <si>
    <t>S2MMM843-SS3SN</t>
  </si>
  <si>
    <t>S2MDV843</t>
  </si>
  <si>
    <t>Digital</t>
  </si>
  <si>
    <t>Digital I/O Module (16-channels, isolated)</t>
  </si>
  <si>
    <t>S2MDV843-{SIG}{TEMP}{EX}{RED}</t>
  </si>
  <si>
    <t>S2MDV843-S3SN</t>
  </si>
  <si>
    <t>S2BN1D</t>
  </si>
  <si>
    <t>Baseplate</t>
  </si>
  <si>
    <t>Baseplate with disconnecting terminal (for N-IO, 16-channel)</t>
  </si>
  <si>
    <t>S2BN1D-{SIG}{TEMP}{EX}{RED}</t>
  </si>
  <si>
    <t>S2BN1D-SS3SN</t>
  </si>
  <si>
    <t>S2BN4D</t>
  </si>
  <si>
    <t>Base Plate for Barrier (for N-IO, MTL Barrier)</t>
  </si>
  <si>
    <t>S2BN4D-{SIG}{TEMP}{EX}{RED}</t>
  </si>
  <si>
    <t>S2BN4D-SS3SN</t>
  </si>
  <si>
    <t>S2BN5D</t>
  </si>
  <si>
    <t>Base Plate for Barrier (for N-IO, P&amp;F Barrier)</t>
  </si>
  <si>
    <t>S2BN5D-{SIG}{TEMP}{EX}{RED}</t>
  </si>
  <si>
    <t>S2BN5D-SS3SN</t>
  </si>
  <si>
    <t>Constraint</t>
  </si>
  <si>
    <t>Value</t>
  </si>
  <si>
    <t>Units</t>
  </si>
  <si>
    <t>Max_NIO_Units_per_NIU</t>
  </si>
  <si>
    <t>Max_Channels_per_NIU_System</t>
  </si>
  <si>
    <t>Channels</t>
  </si>
  <si>
    <t>1 NIU + 6 N-IO</t>
  </si>
  <si>
    <t>Max_AO_per_Module</t>
  </si>
  <si>
    <t>Max_Channel_Current</t>
  </si>
  <si>
    <t>A</t>
  </si>
  <si>
    <t>Max_2Ch_Parallel_Current</t>
  </si>
  <si>
    <t>Max_3Ch_Parallel_Current</t>
  </si>
  <si>
    <t>Ambient_Min_C</t>
  </si>
  <si>
    <t>Max_Total_Current_A</t>
  </si>
  <si>
    <t>Node Type</t>
  </si>
  <si>
    <t>SNU</t>
  </si>
  <si>
    <t>IOM</t>
  </si>
  <si>
    <t>SSB401</t>
  </si>
  <si>
    <t>SCU_Without_ESB</t>
  </si>
  <si>
    <t>SCU_With_ESB</t>
  </si>
  <si>
    <t>Slot</t>
  </si>
  <si>
    <t>Type</t>
  </si>
  <si>
    <t>AI, DI, DO, AO</t>
  </si>
  <si>
    <t>SPW482</t>
  </si>
  <si>
    <t>SEC401</t>
  </si>
  <si>
    <t>Node No</t>
  </si>
  <si>
    <t>Node 1 Only</t>
  </si>
  <si>
    <t>&gt;=2</t>
  </si>
  <si>
    <t>Empty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</si>
</sst>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topLeftCell="B1" zoomScale="115" zoomScaleNormal="115" workbookViewId="0">
      <pane ySplit="1" topLeftCell="A2" activePane="bottomLeft" state="frozen"/>
      <selection pane="bottomLeft" activeCell="D18" sqref="D18"/>
    </sheetView>
  </sheetViews>
  <sheetFormatPr defaultRowHeight="14.4" x14ac:dyDescent="0.3"/>
  <cols>
    <col min="1" max="1" width="20.33203125" bestFit="1" customWidth="1"/>
    <col min="2" max="2" width="16.6640625" bestFit="1" customWidth="1"/>
    <col min="3" max="3" width="17.21875" bestFit="1" customWidth="1"/>
    <col min="4" max="4" width="16.77734375" bestFit="1" customWidth="1"/>
    <col min="5" max="5" width="19.77734375" bestFit="1" customWidth="1"/>
    <col min="6" max="6" width="21.77734375" bestFit="1" customWidth="1"/>
    <col min="7" max="7" width="22" bestFit="1" customWidth="1"/>
    <col min="8" max="8" width="21.33203125" bestFit="1" customWidth="1"/>
    <col min="9" max="9" width="26.77734375" bestFit="1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11" x14ac:dyDescent="0.3">
      <c r="A2" s="1" t="s">
        <v>9</v>
      </c>
      <c r="B2" s="1" t="s">
        <v>10</v>
      </c>
      <c r="C2" s="1" t="s">
        <v>11</v>
      </c>
      <c r="D2" s="1" t="s">
        <v>11</v>
      </c>
      <c r="E2" s="1">
        <v>32</v>
      </c>
      <c r="F2" s="1">
        <v>108</v>
      </c>
      <c r="G2" s="3">
        <v>13</v>
      </c>
      <c r="H2" s="3">
        <v>110</v>
      </c>
      <c r="I2" s="3">
        <v>55</v>
      </c>
    </row>
    <row r="3" spans="1:11" x14ac:dyDescent="0.3">
      <c r="A3" s="1" t="s">
        <v>12</v>
      </c>
      <c r="B3" s="1" t="s">
        <v>10</v>
      </c>
      <c r="C3" s="1" t="s">
        <v>11</v>
      </c>
      <c r="D3" s="1" t="s">
        <v>11</v>
      </c>
      <c r="E3" s="1">
        <v>32</v>
      </c>
      <c r="F3" s="1">
        <v>108</v>
      </c>
      <c r="G3" s="3">
        <v>13</v>
      </c>
      <c r="H3" s="3">
        <v>110</v>
      </c>
      <c r="I3" s="3">
        <v>55</v>
      </c>
      <c r="K3">
        <f>13*8</f>
        <v>104</v>
      </c>
    </row>
    <row r="4" spans="1:11" x14ac:dyDescent="0.3">
      <c r="A4" s="1" t="s">
        <v>13</v>
      </c>
      <c r="B4" s="1" t="s">
        <v>10</v>
      </c>
      <c r="C4" s="1" t="s">
        <v>14</v>
      </c>
      <c r="D4" s="1" t="s">
        <v>11</v>
      </c>
      <c r="E4" s="1">
        <v>0</v>
      </c>
      <c r="F4" s="1">
        <v>0</v>
      </c>
      <c r="G4" s="1">
        <v>13</v>
      </c>
      <c r="H4" s="1">
        <v>110</v>
      </c>
      <c r="I4" s="1">
        <v>55</v>
      </c>
    </row>
    <row r="5" spans="1:11" x14ac:dyDescent="0.3">
      <c r="A5" s="1" t="s">
        <v>15</v>
      </c>
      <c r="B5" s="1" t="s">
        <v>10</v>
      </c>
      <c r="C5" s="1" t="s">
        <v>14</v>
      </c>
      <c r="D5" s="1" t="s">
        <v>11</v>
      </c>
      <c r="E5" s="1">
        <v>0</v>
      </c>
      <c r="F5" s="1">
        <v>0</v>
      </c>
      <c r="G5" s="1">
        <v>13</v>
      </c>
      <c r="H5" s="1">
        <v>110</v>
      </c>
      <c r="I5" s="1">
        <v>55</v>
      </c>
    </row>
    <row r="6" spans="1:11" x14ac:dyDescent="0.3">
      <c r="A6" s="1" t="s">
        <v>16</v>
      </c>
      <c r="B6" s="1" t="s">
        <v>10</v>
      </c>
      <c r="C6" s="1" t="s">
        <v>14</v>
      </c>
      <c r="D6" s="1" t="s">
        <v>11</v>
      </c>
      <c r="E6" s="1">
        <v>0</v>
      </c>
      <c r="F6" s="1">
        <v>0</v>
      </c>
      <c r="G6" s="1">
        <v>9</v>
      </c>
      <c r="H6" s="1">
        <v>78</v>
      </c>
      <c r="I6" s="1">
        <v>39</v>
      </c>
    </row>
    <row r="7" spans="1:11" x14ac:dyDescent="0.3">
      <c r="A7" s="1" t="s">
        <v>17</v>
      </c>
      <c r="B7" s="1" t="s">
        <v>10</v>
      </c>
      <c r="C7" s="1" t="s">
        <v>14</v>
      </c>
      <c r="D7" s="1" t="s">
        <v>11</v>
      </c>
      <c r="E7" s="1">
        <v>0</v>
      </c>
      <c r="F7" s="1">
        <v>0</v>
      </c>
      <c r="G7" s="1">
        <v>9</v>
      </c>
      <c r="H7" s="1">
        <v>78</v>
      </c>
      <c r="I7" s="1">
        <v>39</v>
      </c>
    </row>
  </sheetData>
  <autoFilter ref="A1:I1" xr:uid="{00000000-0001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0BE8D-D222-4E6F-9A6F-956488FCAF86}">
  <dimension ref="A1:D37"/>
  <sheetViews>
    <sheetView tabSelected="1" zoomScale="115" zoomScaleNormal="115" workbookViewId="0">
      <pane ySplit="1" topLeftCell="A25" activePane="bottomLeft" state="frozen"/>
      <selection pane="bottomLeft" activeCell="D34" sqref="D34"/>
    </sheetView>
  </sheetViews>
  <sheetFormatPr defaultRowHeight="14.4" x14ac:dyDescent="0.3"/>
  <cols>
    <col min="1" max="1" width="16.6640625" bestFit="1" customWidth="1"/>
    <col min="2" max="2" width="16.6640625" customWidth="1"/>
    <col min="4" max="4" width="16.21875" customWidth="1"/>
  </cols>
  <sheetData>
    <row r="1" spans="1:4" x14ac:dyDescent="0.3">
      <c r="A1" s="1" t="s">
        <v>112</v>
      </c>
      <c r="B1" s="1" t="s">
        <v>123</v>
      </c>
      <c r="C1" s="1" t="s">
        <v>118</v>
      </c>
      <c r="D1" s="1" t="s">
        <v>119</v>
      </c>
    </row>
    <row r="2" spans="1:4" x14ac:dyDescent="0.3">
      <c r="A2" s="1" t="s">
        <v>117</v>
      </c>
      <c r="B2" s="1">
        <v>1</v>
      </c>
      <c r="C2" s="1">
        <v>1</v>
      </c>
      <c r="D2" s="1" t="s">
        <v>114</v>
      </c>
    </row>
    <row r="3" spans="1:4" x14ac:dyDescent="0.3">
      <c r="A3" s="1" t="s">
        <v>117</v>
      </c>
      <c r="B3" s="1">
        <v>1</v>
      </c>
      <c r="C3" s="1">
        <v>2</v>
      </c>
      <c r="D3" s="1" t="s">
        <v>114</v>
      </c>
    </row>
    <row r="4" spans="1:4" x14ac:dyDescent="0.3">
      <c r="A4" s="1" t="s">
        <v>117</v>
      </c>
      <c r="B4" s="1">
        <v>1</v>
      </c>
      <c r="C4" s="1">
        <v>3</v>
      </c>
      <c r="D4" s="1" t="s">
        <v>114</v>
      </c>
    </row>
    <row r="5" spans="1:4" x14ac:dyDescent="0.3">
      <c r="A5" s="1" t="s">
        <v>117</v>
      </c>
      <c r="B5" s="1">
        <v>1</v>
      </c>
      <c r="C5" s="1">
        <v>4</v>
      </c>
      <c r="D5" s="1" t="s">
        <v>114</v>
      </c>
    </row>
    <row r="6" spans="1:4" x14ac:dyDescent="0.3">
      <c r="A6" s="1" t="s">
        <v>117</v>
      </c>
      <c r="B6" s="1">
        <v>1</v>
      </c>
      <c r="C6" s="1">
        <v>5</v>
      </c>
      <c r="D6" s="1" t="s">
        <v>114</v>
      </c>
    </row>
    <row r="7" spans="1:4" x14ac:dyDescent="0.3">
      <c r="A7" s="1" t="s">
        <v>117</v>
      </c>
      <c r="B7" s="1">
        <v>1</v>
      </c>
      <c r="C7" s="1">
        <v>6</v>
      </c>
      <c r="D7" s="1" t="s">
        <v>114</v>
      </c>
    </row>
    <row r="8" spans="1:4" x14ac:dyDescent="0.3">
      <c r="A8" s="1" t="s">
        <v>117</v>
      </c>
      <c r="B8" s="1">
        <v>1</v>
      </c>
      <c r="C8" s="1">
        <v>7</v>
      </c>
      <c r="D8" s="1" t="s">
        <v>122</v>
      </c>
    </row>
    <row r="9" spans="1:4" x14ac:dyDescent="0.3">
      <c r="A9" s="1" t="s">
        <v>117</v>
      </c>
      <c r="B9" s="1">
        <v>1</v>
      </c>
      <c r="C9" s="1">
        <v>8</v>
      </c>
      <c r="D9" s="1" t="s">
        <v>122</v>
      </c>
    </row>
    <row r="10" spans="1:4" x14ac:dyDescent="0.3">
      <c r="A10" s="1" t="s">
        <v>117</v>
      </c>
      <c r="B10" s="1">
        <v>1</v>
      </c>
      <c r="C10" s="1">
        <v>9</v>
      </c>
      <c r="D10" s="1" t="s">
        <v>115</v>
      </c>
    </row>
    <row r="11" spans="1:4" x14ac:dyDescent="0.3">
      <c r="A11" s="1" t="s">
        <v>117</v>
      </c>
      <c r="B11" s="1">
        <v>1</v>
      </c>
      <c r="C11" s="1">
        <v>10</v>
      </c>
      <c r="D11" s="1" t="s">
        <v>115</v>
      </c>
    </row>
    <row r="12" spans="1:4" x14ac:dyDescent="0.3">
      <c r="A12" s="1" t="s">
        <v>117</v>
      </c>
      <c r="B12" s="1">
        <v>1</v>
      </c>
      <c r="C12" s="1">
        <v>11</v>
      </c>
      <c r="D12" s="1" t="s">
        <v>121</v>
      </c>
    </row>
    <row r="13" spans="1:4" x14ac:dyDescent="0.3">
      <c r="A13" s="1" t="s">
        <v>117</v>
      </c>
      <c r="B13" s="1">
        <v>1</v>
      </c>
      <c r="C13" s="1">
        <v>12</v>
      </c>
      <c r="D13" s="1" t="s">
        <v>121</v>
      </c>
    </row>
    <row r="14" spans="1:4" x14ac:dyDescent="0.3">
      <c r="A14" s="1" t="s">
        <v>113</v>
      </c>
      <c r="B14" s="1" t="s">
        <v>125</v>
      </c>
      <c r="C14" s="1">
        <v>1</v>
      </c>
      <c r="D14" s="1" t="s">
        <v>114</v>
      </c>
    </row>
    <row r="15" spans="1:4" x14ac:dyDescent="0.3">
      <c r="A15" s="1" t="s">
        <v>113</v>
      </c>
      <c r="B15" s="1" t="s">
        <v>125</v>
      </c>
      <c r="C15" s="1">
        <v>2</v>
      </c>
      <c r="D15" s="1" t="s">
        <v>114</v>
      </c>
    </row>
    <row r="16" spans="1:4" x14ac:dyDescent="0.3">
      <c r="A16" s="1" t="s">
        <v>113</v>
      </c>
      <c r="B16" s="1" t="s">
        <v>125</v>
      </c>
      <c r="C16" s="1">
        <v>3</v>
      </c>
      <c r="D16" s="1" t="s">
        <v>114</v>
      </c>
    </row>
    <row r="17" spans="1:4" x14ac:dyDescent="0.3">
      <c r="A17" s="1" t="s">
        <v>113</v>
      </c>
      <c r="B17" s="1" t="s">
        <v>125</v>
      </c>
      <c r="C17" s="1">
        <v>4</v>
      </c>
      <c r="D17" s="1" t="s">
        <v>114</v>
      </c>
    </row>
    <row r="18" spans="1:4" x14ac:dyDescent="0.3">
      <c r="A18" s="1" t="s">
        <v>113</v>
      </c>
      <c r="B18" s="1" t="s">
        <v>125</v>
      </c>
      <c r="C18" s="1">
        <v>5</v>
      </c>
      <c r="D18" s="1" t="s">
        <v>114</v>
      </c>
    </row>
    <row r="19" spans="1:4" x14ac:dyDescent="0.3">
      <c r="A19" s="1" t="s">
        <v>113</v>
      </c>
      <c r="B19" s="1" t="s">
        <v>125</v>
      </c>
      <c r="C19" s="1">
        <v>6</v>
      </c>
      <c r="D19" s="1" t="s">
        <v>114</v>
      </c>
    </row>
    <row r="20" spans="1:4" x14ac:dyDescent="0.3">
      <c r="A20" s="1" t="s">
        <v>113</v>
      </c>
      <c r="B20" s="1" t="s">
        <v>125</v>
      </c>
      <c r="C20" s="1">
        <v>7</v>
      </c>
      <c r="D20" s="1" t="s">
        <v>114</v>
      </c>
    </row>
    <row r="21" spans="1:4" x14ac:dyDescent="0.3">
      <c r="A21" s="1" t="s">
        <v>113</v>
      </c>
      <c r="B21" s="1" t="s">
        <v>125</v>
      </c>
      <c r="C21" s="1">
        <v>8</v>
      </c>
      <c r="D21" s="1" t="s">
        <v>114</v>
      </c>
    </row>
    <row r="22" spans="1:4" x14ac:dyDescent="0.3">
      <c r="A22" s="1" t="s">
        <v>113</v>
      </c>
      <c r="B22" s="1" t="s">
        <v>125</v>
      </c>
      <c r="C22" s="1">
        <v>9</v>
      </c>
      <c r="D22" s="1" t="s">
        <v>115</v>
      </c>
    </row>
    <row r="23" spans="1:4" x14ac:dyDescent="0.3">
      <c r="A23" s="1" t="s">
        <v>113</v>
      </c>
      <c r="B23" s="1" t="s">
        <v>125</v>
      </c>
      <c r="C23" s="1">
        <v>10</v>
      </c>
      <c r="D23" s="1" t="s">
        <v>115</v>
      </c>
    </row>
    <row r="24" spans="1:4" x14ac:dyDescent="0.3">
      <c r="A24" s="1" t="s">
        <v>113</v>
      </c>
      <c r="B24" s="1" t="s">
        <v>125</v>
      </c>
      <c r="C24" s="1">
        <v>11</v>
      </c>
      <c r="D24" s="1" t="s">
        <v>121</v>
      </c>
    </row>
    <row r="25" spans="1:4" x14ac:dyDescent="0.3">
      <c r="A25" s="1" t="s">
        <v>113</v>
      </c>
      <c r="B25" s="1" t="s">
        <v>125</v>
      </c>
      <c r="C25" s="1">
        <v>12</v>
      </c>
      <c r="D25" s="1" t="s">
        <v>121</v>
      </c>
    </row>
    <row r="26" spans="1:4" x14ac:dyDescent="0.3">
      <c r="A26" s="1" t="s">
        <v>116</v>
      </c>
      <c r="B26" s="1" t="s">
        <v>124</v>
      </c>
      <c r="C26" s="1">
        <v>1</v>
      </c>
      <c r="D26" s="1" t="s">
        <v>114</v>
      </c>
    </row>
    <row r="27" spans="1:4" x14ac:dyDescent="0.3">
      <c r="A27" s="1" t="s">
        <v>116</v>
      </c>
      <c r="B27" s="1" t="s">
        <v>124</v>
      </c>
      <c r="C27" s="1">
        <v>2</v>
      </c>
      <c r="D27" s="1" t="s">
        <v>114</v>
      </c>
    </row>
    <row r="28" spans="1:4" x14ac:dyDescent="0.3">
      <c r="A28" s="1" t="s">
        <v>116</v>
      </c>
      <c r="B28" s="1" t="s">
        <v>124</v>
      </c>
      <c r="C28" s="1">
        <v>3</v>
      </c>
      <c r="D28" s="1" t="s">
        <v>114</v>
      </c>
    </row>
    <row r="29" spans="1:4" x14ac:dyDescent="0.3">
      <c r="A29" s="1" t="s">
        <v>116</v>
      </c>
      <c r="B29" s="1" t="s">
        <v>124</v>
      </c>
      <c r="C29" s="1">
        <v>4</v>
      </c>
      <c r="D29" s="1" t="s">
        <v>114</v>
      </c>
    </row>
    <row r="30" spans="1:4" x14ac:dyDescent="0.3">
      <c r="A30" s="1" t="s">
        <v>116</v>
      </c>
      <c r="B30" s="1" t="s">
        <v>124</v>
      </c>
      <c r="C30" s="1">
        <v>5</v>
      </c>
      <c r="D30" s="1" t="s">
        <v>114</v>
      </c>
    </row>
    <row r="31" spans="1:4" x14ac:dyDescent="0.3">
      <c r="A31" s="1" t="s">
        <v>116</v>
      </c>
      <c r="B31" s="1" t="s">
        <v>124</v>
      </c>
      <c r="C31" s="1">
        <v>6</v>
      </c>
      <c r="D31" s="1" t="s">
        <v>114</v>
      </c>
    </row>
    <row r="32" spans="1:4" x14ac:dyDescent="0.3">
      <c r="A32" s="1" t="s">
        <v>116</v>
      </c>
      <c r="B32" s="1" t="s">
        <v>124</v>
      </c>
      <c r="C32" s="1">
        <v>7</v>
      </c>
      <c r="D32" s="1" t="s">
        <v>114</v>
      </c>
    </row>
    <row r="33" spans="1:4" x14ac:dyDescent="0.3">
      <c r="A33" s="1" t="s">
        <v>116</v>
      </c>
      <c r="B33" s="1" t="s">
        <v>124</v>
      </c>
      <c r="C33" s="1">
        <v>8</v>
      </c>
      <c r="D33" s="1" t="s">
        <v>126</v>
      </c>
    </row>
    <row r="34" spans="1:4" x14ac:dyDescent="0.3">
      <c r="A34" s="1" t="s">
        <v>116</v>
      </c>
      <c r="B34" s="1" t="s">
        <v>124</v>
      </c>
      <c r="C34" s="1">
        <v>9</v>
      </c>
      <c r="D34" s="1" t="s">
        <v>115</v>
      </c>
    </row>
    <row r="35" spans="1:4" x14ac:dyDescent="0.3">
      <c r="A35" s="1" t="s">
        <v>116</v>
      </c>
      <c r="B35" s="1" t="s">
        <v>124</v>
      </c>
      <c r="C35" s="1">
        <v>10</v>
      </c>
      <c r="D35" s="1" t="s">
        <v>115</v>
      </c>
    </row>
    <row r="36" spans="1:4" x14ac:dyDescent="0.3">
      <c r="A36" s="1" t="s">
        <v>116</v>
      </c>
      <c r="B36" s="1" t="s">
        <v>124</v>
      </c>
      <c r="C36" s="1">
        <v>11</v>
      </c>
      <c r="D36" s="1" t="s">
        <v>121</v>
      </c>
    </row>
    <row r="37" spans="1:4" x14ac:dyDescent="0.3">
      <c r="A37" s="1" t="s">
        <v>116</v>
      </c>
      <c r="B37" s="1" t="s">
        <v>124</v>
      </c>
      <c r="C37" s="1">
        <v>12</v>
      </c>
      <c r="D37" s="1" t="s">
        <v>121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BEF25-15B3-4AC1-A5C6-E171B4BC03C8}">
  <dimension ref="A1:U21"/>
  <sheetViews>
    <sheetView topLeftCell="C1" zoomScaleNormal="100" workbookViewId="0">
      <pane ySplit="1" topLeftCell="A2" activePane="bottomLeft" state="frozen"/>
      <selection pane="bottomLeft" activeCell="G24" sqref="G24"/>
    </sheetView>
  </sheetViews>
  <sheetFormatPr defaultRowHeight="14.4" x14ac:dyDescent="0.3"/>
  <cols>
    <col min="1" max="1" width="11" customWidth="1"/>
    <col min="2" max="2" width="13.109375" customWidth="1"/>
    <col min="3" max="3" width="12.44140625" customWidth="1"/>
    <col min="4" max="4" width="14.21875" customWidth="1"/>
    <col min="5" max="5" width="19.21875" customWidth="1"/>
    <col min="6" max="6" width="15.33203125" customWidth="1"/>
    <col min="7" max="7" width="64.5546875" bestFit="1" customWidth="1"/>
    <col min="8" max="8" width="11.6640625" bestFit="1" customWidth="1"/>
    <col min="9" max="9" width="15" bestFit="1" customWidth="1"/>
    <col min="10" max="10" width="15.44140625" bestFit="1" customWidth="1"/>
    <col min="11" max="14" width="16.6640625" customWidth="1"/>
    <col min="15" max="15" width="9.88671875" bestFit="1" customWidth="1"/>
    <col min="16" max="16" width="20.21875" customWidth="1"/>
    <col min="17" max="17" width="21.88671875" customWidth="1"/>
    <col min="18" max="18" width="17.109375" customWidth="1"/>
    <col min="19" max="19" width="17.5546875" customWidth="1"/>
    <col min="20" max="20" width="29.77734375" customWidth="1"/>
    <col min="21" max="21" width="20.33203125" customWidth="1"/>
  </cols>
  <sheetData>
    <row r="1" spans="1:21" x14ac:dyDescent="0.3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2" t="s">
        <v>38</v>
      </c>
    </row>
    <row r="2" spans="1:21" x14ac:dyDescent="0.3">
      <c r="A2" s="1" t="s">
        <v>39</v>
      </c>
      <c r="B2" s="1" t="s">
        <v>40</v>
      </c>
      <c r="C2" s="1" t="s">
        <v>41</v>
      </c>
      <c r="D2" s="1" t="s">
        <v>42</v>
      </c>
      <c r="E2" s="1">
        <v>16</v>
      </c>
      <c r="F2" s="1" t="s">
        <v>14</v>
      </c>
      <c r="G2" s="1" t="s">
        <v>43</v>
      </c>
      <c r="H2" s="1" t="s">
        <v>44</v>
      </c>
      <c r="I2" s="1">
        <v>60</v>
      </c>
      <c r="J2" s="1">
        <v>16</v>
      </c>
      <c r="K2" s="1">
        <v>3</v>
      </c>
      <c r="L2" s="1">
        <v>5</v>
      </c>
      <c r="M2" s="1">
        <v>22</v>
      </c>
      <c r="N2" s="1">
        <v>25</v>
      </c>
      <c r="O2" s="1" t="s">
        <v>45</v>
      </c>
      <c r="P2" s="1" t="s">
        <v>46</v>
      </c>
      <c r="Q2" s="1" t="s">
        <v>47</v>
      </c>
      <c r="R2" s="1" t="s">
        <v>46</v>
      </c>
      <c r="S2" s="1" t="s">
        <v>48</v>
      </c>
      <c r="T2" s="1" t="s">
        <v>49</v>
      </c>
      <c r="U2" s="1" t="s">
        <v>50</v>
      </c>
    </row>
    <row r="3" spans="1:21" x14ac:dyDescent="0.3">
      <c r="A3" s="1" t="s">
        <v>39</v>
      </c>
      <c r="B3" s="1" t="s">
        <v>40</v>
      </c>
      <c r="C3" s="1" t="s">
        <v>41</v>
      </c>
      <c r="D3" s="1" t="s">
        <v>42</v>
      </c>
      <c r="E3" s="1">
        <v>16</v>
      </c>
      <c r="F3" s="1" t="s">
        <v>14</v>
      </c>
      <c r="G3" s="1" t="s">
        <v>43</v>
      </c>
      <c r="H3" s="1" t="s">
        <v>44</v>
      </c>
      <c r="I3" s="1">
        <v>65</v>
      </c>
      <c r="J3" s="1">
        <v>14</v>
      </c>
      <c r="K3" s="1">
        <v>3</v>
      </c>
      <c r="L3" s="1">
        <v>5</v>
      </c>
      <c r="M3" s="1">
        <v>22</v>
      </c>
      <c r="N3" s="1">
        <v>25</v>
      </c>
      <c r="O3" s="1" t="s">
        <v>51</v>
      </c>
      <c r="P3" s="1" t="s">
        <v>46</v>
      </c>
      <c r="Q3" s="1" t="s">
        <v>47</v>
      </c>
      <c r="R3" s="1" t="s">
        <v>46</v>
      </c>
      <c r="S3" s="1" t="s">
        <v>48</v>
      </c>
      <c r="T3" s="1" t="s">
        <v>49</v>
      </c>
      <c r="U3" s="1" t="s">
        <v>50</v>
      </c>
    </row>
    <row r="4" spans="1:21" x14ac:dyDescent="0.3">
      <c r="A4" s="1" t="s">
        <v>39</v>
      </c>
      <c r="B4" s="1" t="s">
        <v>40</v>
      </c>
      <c r="C4" s="1" t="s">
        <v>41</v>
      </c>
      <c r="D4" s="1" t="s">
        <v>42</v>
      </c>
      <c r="E4" s="1">
        <v>16</v>
      </c>
      <c r="F4" s="1" t="s">
        <v>14</v>
      </c>
      <c r="G4" s="1" t="s">
        <v>43</v>
      </c>
      <c r="H4" s="1" t="s">
        <v>44</v>
      </c>
      <c r="I4" s="1">
        <v>70</v>
      </c>
      <c r="J4" s="1">
        <v>10</v>
      </c>
      <c r="K4" s="1">
        <v>3</v>
      </c>
      <c r="L4" s="1">
        <v>5</v>
      </c>
      <c r="M4" s="1">
        <v>22</v>
      </c>
      <c r="N4" s="1">
        <v>25</v>
      </c>
      <c r="O4" s="1" t="s">
        <v>52</v>
      </c>
      <c r="P4" s="1" t="s">
        <v>46</v>
      </c>
      <c r="Q4" s="1" t="s">
        <v>47</v>
      </c>
      <c r="R4" s="1" t="s">
        <v>46</v>
      </c>
      <c r="S4" s="1" t="s">
        <v>48</v>
      </c>
      <c r="T4" s="1" t="s">
        <v>49</v>
      </c>
      <c r="U4" s="1" t="s">
        <v>50</v>
      </c>
    </row>
    <row r="5" spans="1:21" x14ac:dyDescent="0.3">
      <c r="A5" s="1" t="s">
        <v>39</v>
      </c>
      <c r="B5" s="1" t="s">
        <v>40</v>
      </c>
      <c r="C5" s="1" t="s">
        <v>41</v>
      </c>
      <c r="D5" s="1" t="s">
        <v>42</v>
      </c>
      <c r="E5" s="1">
        <v>16</v>
      </c>
      <c r="F5" s="1" t="s">
        <v>14</v>
      </c>
      <c r="G5" s="1" t="s">
        <v>43</v>
      </c>
      <c r="H5" s="1" t="s">
        <v>53</v>
      </c>
      <c r="I5" s="1">
        <v>65</v>
      </c>
      <c r="J5" s="1">
        <v>16</v>
      </c>
      <c r="K5" s="1">
        <v>3</v>
      </c>
      <c r="L5" s="1">
        <v>5</v>
      </c>
      <c r="M5" s="1">
        <v>4</v>
      </c>
      <c r="N5" s="1">
        <v>7</v>
      </c>
      <c r="O5" s="1"/>
      <c r="P5" s="1" t="s">
        <v>46</v>
      </c>
      <c r="Q5" s="1" t="s">
        <v>47</v>
      </c>
      <c r="R5" s="1" t="s">
        <v>46</v>
      </c>
      <c r="S5" s="1" t="s">
        <v>48</v>
      </c>
      <c r="T5" s="1" t="s">
        <v>49</v>
      </c>
      <c r="U5" s="1" t="s">
        <v>50</v>
      </c>
    </row>
    <row r="6" spans="1:21" x14ac:dyDescent="0.3">
      <c r="A6" s="1" t="s">
        <v>39</v>
      </c>
      <c r="B6" s="1" t="s">
        <v>40</v>
      </c>
      <c r="C6" s="1" t="s">
        <v>41</v>
      </c>
      <c r="D6" s="1" t="s">
        <v>42</v>
      </c>
      <c r="E6" s="1">
        <v>16</v>
      </c>
      <c r="F6" s="1" t="s">
        <v>14</v>
      </c>
      <c r="G6" s="1" t="s">
        <v>43</v>
      </c>
      <c r="H6" s="1" t="s">
        <v>53</v>
      </c>
      <c r="I6" s="1">
        <v>70</v>
      </c>
      <c r="J6" s="1">
        <v>12</v>
      </c>
      <c r="K6" s="1">
        <v>3</v>
      </c>
      <c r="L6" s="1">
        <v>5</v>
      </c>
      <c r="M6" s="1">
        <v>4</v>
      </c>
      <c r="N6" s="1">
        <v>7</v>
      </c>
      <c r="O6" s="1"/>
      <c r="P6" s="1" t="s">
        <v>46</v>
      </c>
      <c r="Q6" s="1" t="s">
        <v>47</v>
      </c>
      <c r="R6" s="1" t="s">
        <v>46</v>
      </c>
      <c r="S6" s="1" t="s">
        <v>48</v>
      </c>
      <c r="T6" s="1" t="s">
        <v>49</v>
      </c>
      <c r="U6" s="1" t="s">
        <v>50</v>
      </c>
    </row>
    <row r="7" spans="1:21" x14ac:dyDescent="0.3">
      <c r="A7" s="4" t="s">
        <v>39</v>
      </c>
      <c r="B7" s="1" t="s">
        <v>54</v>
      </c>
      <c r="C7" s="4" t="s">
        <v>41</v>
      </c>
      <c r="D7" s="1" t="s">
        <v>42</v>
      </c>
      <c r="E7" s="1">
        <v>16</v>
      </c>
      <c r="F7" s="4" t="s">
        <v>11</v>
      </c>
      <c r="G7" s="1" t="s">
        <v>55</v>
      </c>
      <c r="H7" s="4" t="s">
        <v>44</v>
      </c>
      <c r="I7" s="1">
        <v>60</v>
      </c>
      <c r="J7" s="1">
        <v>16</v>
      </c>
      <c r="K7" s="1">
        <v>3</v>
      </c>
      <c r="L7" s="1">
        <v>6</v>
      </c>
      <c r="M7" s="1">
        <v>25</v>
      </c>
      <c r="N7" s="1">
        <v>29</v>
      </c>
      <c r="O7" s="1" t="s">
        <v>56</v>
      </c>
      <c r="P7" s="1" t="s">
        <v>46</v>
      </c>
      <c r="Q7" s="1" t="s">
        <v>47</v>
      </c>
      <c r="R7" s="1" t="s">
        <v>46</v>
      </c>
      <c r="S7" s="1" t="s">
        <v>48</v>
      </c>
      <c r="T7" s="1" t="s">
        <v>57</v>
      </c>
      <c r="U7" s="1" t="s">
        <v>58</v>
      </c>
    </row>
    <row r="8" spans="1:21" x14ac:dyDescent="0.3">
      <c r="A8" s="1" t="s">
        <v>39</v>
      </c>
      <c r="B8" s="1" t="s">
        <v>54</v>
      </c>
      <c r="C8" s="1" t="s">
        <v>41</v>
      </c>
      <c r="D8" s="1" t="s">
        <v>42</v>
      </c>
      <c r="E8" s="1">
        <v>16</v>
      </c>
      <c r="F8" s="1" t="s">
        <v>11</v>
      </c>
      <c r="G8" s="1" t="s">
        <v>55</v>
      </c>
      <c r="H8" s="1" t="s">
        <v>44</v>
      </c>
      <c r="I8" s="1">
        <v>65</v>
      </c>
      <c r="J8" s="1">
        <v>14</v>
      </c>
      <c r="K8" s="1">
        <v>3</v>
      </c>
      <c r="L8" s="1">
        <v>6</v>
      </c>
      <c r="M8" s="1">
        <v>25</v>
      </c>
      <c r="N8" s="1">
        <v>29</v>
      </c>
      <c r="O8" s="1"/>
      <c r="P8" s="1" t="s">
        <v>46</v>
      </c>
      <c r="Q8" s="1" t="s">
        <v>47</v>
      </c>
      <c r="R8" s="1" t="s">
        <v>46</v>
      </c>
      <c r="S8" s="1" t="s">
        <v>48</v>
      </c>
      <c r="T8" s="1" t="s">
        <v>57</v>
      </c>
      <c r="U8" s="1" t="s">
        <v>58</v>
      </c>
    </row>
    <row r="9" spans="1:21" x14ac:dyDescent="0.3">
      <c r="A9" s="1" t="s">
        <v>39</v>
      </c>
      <c r="B9" s="1" t="s">
        <v>54</v>
      </c>
      <c r="C9" s="1" t="s">
        <v>41</v>
      </c>
      <c r="D9" s="1" t="s">
        <v>42</v>
      </c>
      <c r="E9" s="1">
        <v>16</v>
      </c>
      <c r="F9" s="1" t="s">
        <v>11</v>
      </c>
      <c r="G9" s="1" t="s">
        <v>55</v>
      </c>
      <c r="H9" s="1" t="s">
        <v>44</v>
      </c>
      <c r="I9" s="1">
        <v>70</v>
      </c>
      <c r="J9" s="1">
        <v>8</v>
      </c>
      <c r="K9" s="1">
        <v>3</v>
      </c>
      <c r="L9" s="1">
        <v>6</v>
      </c>
      <c r="M9" s="1">
        <v>25</v>
      </c>
      <c r="N9" s="1">
        <v>29</v>
      </c>
      <c r="O9" s="1"/>
      <c r="P9" s="1" t="s">
        <v>46</v>
      </c>
      <c r="Q9" s="1" t="s">
        <v>47</v>
      </c>
      <c r="R9" s="1" t="s">
        <v>46</v>
      </c>
      <c r="S9" s="1" t="s">
        <v>48</v>
      </c>
      <c r="T9" s="1" t="s">
        <v>57</v>
      </c>
      <c r="U9" s="1" t="s">
        <v>58</v>
      </c>
    </row>
    <row r="10" spans="1:21" x14ac:dyDescent="0.3">
      <c r="A10" s="1" t="s">
        <v>39</v>
      </c>
      <c r="B10" s="1" t="s">
        <v>54</v>
      </c>
      <c r="C10" s="1" t="s">
        <v>41</v>
      </c>
      <c r="D10" s="1" t="s">
        <v>42</v>
      </c>
      <c r="E10" s="1">
        <v>16</v>
      </c>
      <c r="F10" s="1" t="s">
        <v>11</v>
      </c>
      <c r="G10" s="1" t="s">
        <v>55</v>
      </c>
      <c r="H10" s="1" t="s">
        <v>53</v>
      </c>
      <c r="I10" s="1">
        <v>65</v>
      </c>
      <c r="J10" s="1">
        <v>16</v>
      </c>
      <c r="K10" s="1">
        <v>3</v>
      </c>
      <c r="L10" s="1">
        <v>6</v>
      </c>
      <c r="M10" s="1">
        <v>5</v>
      </c>
      <c r="N10" s="1">
        <v>10</v>
      </c>
      <c r="O10" s="1"/>
      <c r="P10" s="1" t="s">
        <v>46</v>
      </c>
      <c r="Q10" s="1" t="s">
        <v>47</v>
      </c>
      <c r="R10" s="1" t="s">
        <v>46</v>
      </c>
      <c r="S10" s="1" t="s">
        <v>48</v>
      </c>
      <c r="T10" s="1" t="s">
        <v>57</v>
      </c>
      <c r="U10" s="1" t="s">
        <v>58</v>
      </c>
    </row>
    <row r="11" spans="1:21" x14ac:dyDescent="0.3">
      <c r="A11" s="1" t="s">
        <v>39</v>
      </c>
      <c r="B11" s="1" t="s">
        <v>54</v>
      </c>
      <c r="C11" s="1" t="s">
        <v>41</v>
      </c>
      <c r="D11" s="1" t="s">
        <v>42</v>
      </c>
      <c r="E11" s="1">
        <v>16</v>
      </c>
      <c r="F11" s="1" t="s">
        <v>11</v>
      </c>
      <c r="G11" s="1" t="s">
        <v>55</v>
      </c>
      <c r="H11" s="1" t="s">
        <v>53</v>
      </c>
      <c r="I11" s="1">
        <v>70</v>
      </c>
      <c r="J11" s="1">
        <v>12</v>
      </c>
      <c r="K11" s="1">
        <v>3</v>
      </c>
      <c r="L11" s="1">
        <v>6</v>
      </c>
      <c r="M11" s="1">
        <v>5</v>
      </c>
      <c r="N11" s="1">
        <v>10</v>
      </c>
      <c r="O11" s="1"/>
      <c r="P11" s="1" t="s">
        <v>46</v>
      </c>
      <c r="Q11" s="1" t="s">
        <v>47</v>
      </c>
      <c r="R11" s="1" t="s">
        <v>46</v>
      </c>
      <c r="S11" s="1" t="s">
        <v>48</v>
      </c>
      <c r="T11" s="1" t="s">
        <v>57</v>
      </c>
      <c r="U11" s="1" t="s">
        <v>58</v>
      </c>
    </row>
    <row r="12" spans="1:21" x14ac:dyDescent="0.3">
      <c r="A12" s="1" t="s">
        <v>39</v>
      </c>
      <c r="B12" s="1" t="s">
        <v>59</v>
      </c>
      <c r="C12" s="1" t="s">
        <v>60</v>
      </c>
      <c r="D12" s="1" t="s">
        <v>61</v>
      </c>
      <c r="E12" s="1">
        <v>16</v>
      </c>
      <c r="F12" s="1" t="s">
        <v>14</v>
      </c>
      <c r="G12" s="1" t="s">
        <v>62</v>
      </c>
      <c r="H12" s="1" t="s">
        <v>63</v>
      </c>
      <c r="I12" s="1">
        <v>65</v>
      </c>
      <c r="J12" s="1">
        <v>16</v>
      </c>
      <c r="K12" s="1">
        <v>2</v>
      </c>
      <c r="L12" s="1">
        <v>4</v>
      </c>
      <c r="M12" s="1">
        <v>2</v>
      </c>
      <c r="N12" s="1">
        <v>4</v>
      </c>
      <c r="O12" s="1"/>
      <c r="P12" s="1" t="s">
        <v>46</v>
      </c>
      <c r="Q12" s="1" t="s">
        <v>47</v>
      </c>
      <c r="R12" s="1" t="s">
        <v>46</v>
      </c>
      <c r="S12" s="1" t="s">
        <v>48</v>
      </c>
      <c r="T12" s="1" t="s">
        <v>64</v>
      </c>
      <c r="U12" s="1" t="s">
        <v>65</v>
      </c>
    </row>
    <row r="13" spans="1:21" x14ac:dyDescent="0.3">
      <c r="A13" s="1" t="s">
        <v>39</v>
      </c>
      <c r="B13" s="1" t="s">
        <v>59</v>
      </c>
      <c r="C13" s="1" t="s">
        <v>60</v>
      </c>
      <c r="D13" s="1" t="s">
        <v>61</v>
      </c>
      <c r="E13" s="1">
        <v>16</v>
      </c>
      <c r="F13" s="1" t="s">
        <v>14</v>
      </c>
      <c r="G13" s="1" t="s">
        <v>62</v>
      </c>
      <c r="H13" s="1" t="s">
        <v>63</v>
      </c>
      <c r="I13" s="1">
        <v>70</v>
      </c>
      <c r="J13" s="1">
        <v>12</v>
      </c>
      <c r="K13" s="1">
        <v>2</v>
      </c>
      <c r="L13" s="1">
        <v>4</v>
      </c>
      <c r="M13" s="1">
        <v>2</v>
      </c>
      <c r="N13" s="1">
        <v>4</v>
      </c>
      <c r="O13" s="1"/>
      <c r="P13" s="1" t="s">
        <v>46</v>
      </c>
      <c r="Q13" s="1" t="s">
        <v>47</v>
      </c>
      <c r="R13" s="1" t="s">
        <v>46</v>
      </c>
      <c r="S13" s="1" t="s">
        <v>48</v>
      </c>
      <c r="T13" s="1" t="s">
        <v>64</v>
      </c>
      <c r="U13" s="1" t="s">
        <v>65</v>
      </c>
    </row>
    <row r="14" spans="1:21" x14ac:dyDescent="0.3">
      <c r="A14" s="1" t="s">
        <v>39</v>
      </c>
      <c r="B14" s="1" t="s">
        <v>66</v>
      </c>
      <c r="C14" s="1" t="s">
        <v>67</v>
      </c>
      <c r="D14" s="1" t="s">
        <v>61</v>
      </c>
      <c r="E14" s="1">
        <v>16</v>
      </c>
      <c r="F14" s="1" t="s">
        <v>14</v>
      </c>
      <c r="G14" s="1" t="s">
        <v>68</v>
      </c>
      <c r="H14" s="1" t="s">
        <v>63</v>
      </c>
      <c r="I14" s="1">
        <v>60</v>
      </c>
      <c r="J14" s="1">
        <v>16</v>
      </c>
      <c r="K14" s="1">
        <v>3</v>
      </c>
      <c r="L14" s="1">
        <v>6</v>
      </c>
      <c r="M14" s="1">
        <v>5</v>
      </c>
      <c r="N14" s="1">
        <v>7</v>
      </c>
      <c r="O14" s="1"/>
      <c r="P14" s="1" t="s">
        <v>46</v>
      </c>
      <c r="Q14" s="1" t="s">
        <v>47</v>
      </c>
      <c r="R14" s="1" t="s">
        <v>46</v>
      </c>
      <c r="S14" s="1" t="s">
        <v>48</v>
      </c>
      <c r="T14" s="1" t="s">
        <v>69</v>
      </c>
      <c r="U14" s="1" t="s">
        <v>70</v>
      </c>
    </row>
    <row r="15" spans="1:21" x14ac:dyDescent="0.3">
      <c r="A15" s="1" t="s">
        <v>39</v>
      </c>
      <c r="B15" s="1" t="s">
        <v>66</v>
      </c>
      <c r="C15" s="1" t="s">
        <v>67</v>
      </c>
      <c r="D15" s="1" t="s">
        <v>61</v>
      </c>
      <c r="E15" s="1">
        <v>16</v>
      </c>
      <c r="F15" s="1" t="s">
        <v>14</v>
      </c>
      <c r="G15" s="1" t="s">
        <v>68</v>
      </c>
      <c r="H15" s="1" t="s">
        <v>63</v>
      </c>
      <c r="I15" s="1">
        <v>65</v>
      </c>
      <c r="J15" s="1">
        <v>12</v>
      </c>
      <c r="K15" s="1">
        <v>3</v>
      </c>
      <c r="L15" s="1">
        <v>6</v>
      </c>
      <c r="M15" s="1">
        <v>5</v>
      </c>
      <c r="N15" s="1">
        <v>7</v>
      </c>
      <c r="O15" s="1"/>
      <c r="P15" s="1" t="s">
        <v>46</v>
      </c>
      <c r="Q15" s="1" t="s">
        <v>47</v>
      </c>
      <c r="R15" s="1" t="s">
        <v>46</v>
      </c>
      <c r="S15" s="1" t="s">
        <v>48</v>
      </c>
      <c r="T15" s="1" t="s">
        <v>69</v>
      </c>
      <c r="U15" s="1" t="s">
        <v>70</v>
      </c>
    </row>
    <row r="16" spans="1:21" x14ac:dyDescent="0.3">
      <c r="A16" s="1" t="s">
        <v>39</v>
      </c>
      <c r="B16" s="1" t="s">
        <v>66</v>
      </c>
      <c r="C16" s="1" t="s">
        <v>67</v>
      </c>
      <c r="D16" s="1" t="s">
        <v>61</v>
      </c>
      <c r="E16" s="1">
        <v>16</v>
      </c>
      <c r="F16" s="1" t="s">
        <v>14</v>
      </c>
      <c r="G16" s="1" t="s">
        <v>68</v>
      </c>
      <c r="H16" s="1" t="s">
        <v>63</v>
      </c>
      <c r="I16" s="1">
        <v>70</v>
      </c>
      <c r="J16" s="1">
        <v>10</v>
      </c>
      <c r="K16" s="1">
        <v>3</v>
      </c>
      <c r="L16" s="1">
        <v>6</v>
      </c>
      <c r="M16" s="1">
        <v>5</v>
      </c>
      <c r="N16" s="1">
        <v>7</v>
      </c>
      <c r="O16" s="1"/>
      <c r="P16" s="1" t="s">
        <v>46</v>
      </c>
      <c r="Q16" s="1" t="s">
        <v>47</v>
      </c>
      <c r="R16" s="1" t="s">
        <v>46</v>
      </c>
      <c r="S16" s="1" t="s">
        <v>48</v>
      </c>
      <c r="T16" s="1" t="s">
        <v>69</v>
      </c>
      <c r="U16" s="1" t="s">
        <v>70</v>
      </c>
    </row>
    <row r="17" spans="1:21" x14ac:dyDescent="0.3">
      <c r="A17" s="1" t="s">
        <v>71</v>
      </c>
      <c r="B17" s="1" t="s">
        <v>72</v>
      </c>
      <c r="C17" s="1" t="s">
        <v>120</v>
      </c>
      <c r="D17" s="1" t="s">
        <v>73</v>
      </c>
      <c r="E17" s="1">
        <v>16</v>
      </c>
      <c r="F17" s="1" t="s">
        <v>14</v>
      </c>
      <c r="G17" s="1" t="s">
        <v>74</v>
      </c>
      <c r="H17" s="1" t="s">
        <v>75</v>
      </c>
      <c r="I17" s="1">
        <v>70</v>
      </c>
      <c r="J17" s="1">
        <v>16</v>
      </c>
      <c r="K17" s="1">
        <v>0</v>
      </c>
      <c r="L17" s="1">
        <v>0</v>
      </c>
      <c r="M17" s="1">
        <v>0</v>
      </c>
      <c r="N17" s="1">
        <v>0</v>
      </c>
      <c r="O17" s="1" t="s">
        <v>76</v>
      </c>
      <c r="P17" s="1" t="s">
        <v>77</v>
      </c>
      <c r="Q17" s="1" t="s">
        <v>47</v>
      </c>
      <c r="R17" s="1" t="s">
        <v>46</v>
      </c>
      <c r="S17" s="1" t="s">
        <v>48</v>
      </c>
      <c r="T17" s="1" t="s">
        <v>78</v>
      </c>
      <c r="U17" s="1" t="s">
        <v>79</v>
      </c>
    </row>
    <row r="18" spans="1:21" x14ac:dyDescent="0.3">
      <c r="A18" s="1" t="s">
        <v>71</v>
      </c>
      <c r="B18" s="1" t="s">
        <v>80</v>
      </c>
      <c r="C18" s="1" t="s">
        <v>60</v>
      </c>
      <c r="D18" s="1" t="s">
        <v>81</v>
      </c>
      <c r="E18" s="1">
        <v>16</v>
      </c>
      <c r="F18" s="1" t="s">
        <v>14</v>
      </c>
      <c r="G18" s="1" t="s">
        <v>82</v>
      </c>
      <c r="H18" s="1" t="s">
        <v>75</v>
      </c>
      <c r="I18" s="1">
        <v>70</v>
      </c>
      <c r="J18" s="1">
        <v>16</v>
      </c>
      <c r="K18" s="1">
        <v>0</v>
      </c>
      <c r="L18" s="1">
        <v>0</v>
      </c>
      <c r="M18" s="1">
        <v>0</v>
      </c>
      <c r="N18" s="1">
        <v>0</v>
      </c>
      <c r="O18" s="1" t="s">
        <v>76</v>
      </c>
      <c r="P18" s="1" t="s">
        <v>46</v>
      </c>
      <c r="Q18" s="1" t="s">
        <v>47</v>
      </c>
      <c r="R18" s="1" t="s">
        <v>46</v>
      </c>
      <c r="S18" s="1" t="s">
        <v>48</v>
      </c>
      <c r="T18" s="1" t="s">
        <v>83</v>
      </c>
      <c r="U18" s="1" t="s">
        <v>84</v>
      </c>
    </row>
    <row r="19" spans="1:21" x14ac:dyDescent="0.3">
      <c r="A19" s="1" t="s">
        <v>71</v>
      </c>
      <c r="B19" s="1" t="s">
        <v>85</v>
      </c>
      <c r="C19" s="1" t="s">
        <v>86</v>
      </c>
      <c r="D19" s="1" t="s">
        <v>63</v>
      </c>
      <c r="E19" s="1">
        <v>0</v>
      </c>
      <c r="F19" s="1" t="s">
        <v>14</v>
      </c>
      <c r="G19" s="1" t="s">
        <v>87</v>
      </c>
      <c r="H19" s="1" t="s">
        <v>63</v>
      </c>
      <c r="I19" s="1">
        <v>70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/>
      <c r="P19" s="1" t="s">
        <v>77</v>
      </c>
      <c r="Q19" s="1" t="s">
        <v>47</v>
      </c>
      <c r="R19" s="1" t="s">
        <v>46</v>
      </c>
      <c r="S19" s="1" t="s">
        <v>48</v>
      </c>
      <c r="T19" s="1" t="s">
        <v>88</v>
      </c>
      <c r="U19" s="1" t="s">
        <v>89</v>
      </c>
    </row>
    <row r="20" spans="1:21" x14ac:dyDescent="0.3">
      <c r="A20" s="1" t="s">
        <v>71</v>
      </c>
      <c r="B20" s="1" t="s">
        <v>90</v>
      </c>
      <c r="C20" s="1" t="s">
        <v>86</v>
      </c>
      <c r="D20" s="1" t="s">
        <v>63</v>
      </c>
      <c r="E20" s="1">
        <v>0</v>
      </c>
      <c r="F20" s="1" t="s">
        <v>14</v>
      </c>
      <c r="G20" s="1" t="s">
        <v>91</v>
      </c>
      <c r="H20" s="1" t="s">
        <v>63</v>
      </c>
      <c r="I20" s="1">
        <v>70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/>
      <c r="P20" s="1" t="s">
        <v>77</v>
      </c>
      <c r="Q20" s="1" t="s">
        <v>47</v>
      </c>
      <c r="R20" s="1" t="s">
        <v>46</v>
      </c>
      <c r="S20" s="1" t="s">
        <v>48</v>
      </c>
      <c r="T20" s="1" t="s">
        <v>92</v>
      </c>
      <c r="U20" s="1" t="s">
        <v>93</v>
      </c>
    </row>
    <row r="21" spans="1:21" x14ac:dyDescent="0.3">
      <c r="A21" s="1" t="s">
        <v>71</v>
      </c>
      <c r="B21" s="1" t="s">
        <v>94</v>
      </c>
      <c r="C21" s="1" t="s">
        <v>86</v>
      </c>
      <c r="D21" s="1" t="s">
        <v>63</v>
      </c>
      <c r="E21" s="1">
        <v>0</v>
      </c>
      <c r="F21" s="1" t="s">
        <v>14</v>
      </c>
      <c r="G21" s="1" t="s">
        <v>95</v>
      </c>
      <c r="H21" s="1" t="s">
        <v>63</v>
      </c>
      <c r="I21" s="1">
        <v>70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/>
      <c r="P21" s="1" t="s">
        <v>77</v>
      </c>
      <c r="Q21" s="1" t="s">
        <v>47</v>
      </c>
      <c r="R21" s="1" t="s">
        <v>46</v>
      </c>
      <c r="S21" s="1" t="s">
        <v>48</v>
      </c>
      <c r="T21" s="1" t="s">
        <v>96</v>
      </c>
      <c r="U21" s="1" t="s">
        <v>97</v>
      </c>
    </row>
  </sheetData>
  <autoFilter ref="A1:U21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8"/>
  <sheetViews>
    <sheetView topLeftCell="G1" zoomScale="128" zoomScaleNormal="100" workbookViewId="0">
      <pane ySplit="1" topLeftCell="A2" activePane="bottomLeft" state="frozen"/>
      <selection pane="bottomLeft" activeCell="F19" sqref="F19"/>
    </sheetView>
  </sheetViews>
  <sheetFormatPr defaultRowHeight="14.4" x14ac:dyDescent="0.3"/>
  <cols>
    <col min="1" max="1" width="10.88671875" bestFit="1" customWidth="1"/>
    <col min="2" max="2" width="12" bestFit="1" customWidth="1"/>
    <col min="3" max="3" width="12.44140625" customWidth="1"/>
    <col min="4" max="4" width="15.5546875" bestFit="1" customWidth="1"/>
    <col min="5" max="5" width="21.33203125" bestFit="1" customWidth="1"/>
    <col min="6" max="6" width="18.6640625" bestFit="1" customWidth="1"/>
    <col min="7" max="7" width="62.109375" bestFit="1" customWidth="1"/>
    <col min="8" max="8" width="11.33203125" bestFit="1" customWidth="1"/>
    <col min="9" max="9" width="19.5546875" bestFit="1" customWidth="1"/>
    <col min="10" max="10" width="19.88671875" bestFit="1" customWidth="1"/>
    <col min="11" max="11" width="17.21875" bestFit="1" customWidth="1"/>
    <col min="12" max="12" width="16" bestFit="1" customWidth="1"/>
    <col min="13" max="13" width="17.109375" bestFit="1" customWidth="1"/>
    <col min="14" max="14" width="15.88671875" bestFit="1" customWidth="1"/>
    <col min="15" max="15" width="12.6640625" bestFit="1" customWidth="1"/>
    <col min="16" max="16" width="21.44140625" bestFit="1" customWidth="1"/>
    <col min="17" max="17" width="22.33203125" bestFit="1" customWidth="1"/>
    <col min="18" max="18" width="19.33203125" bestFit="1" customWidth="1"/>
    <col min="19" max="19" width="22" bestFit="1" customWidth="1"/>
    <col min="20" max="20" width="30.109375" bestFit="1" customWidth="1"/>
    <col min="21" max="21" width="23.109375" bestFit="1" customWidth="1"/>
  </cols>
  <sheetData>
    <row r="1" spans="1:21" x14ac:dyDescent="0.3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2" t="s">
        <v>38</v>
      </c>
    </row>
    <row r="2" spans="1:21" x14ac:dyDescent="0.3">
      <c r="A2" s="1" t="s">
        <v>39</v>
      </c>
      <c r="B2" s="1" t="s">
        <v>40</v>
      </c>
      <c r="C2" s="1" t="s">
        <v>41</v>
      </c>
      <c r="D2" s="1" t="s">
        <v>42</v>
      </c>
      <c r="E2" s="1">
        <v>16</v>
      </c>
      <c r="F2" s="1" t="s">
        <v>14</v>
      </c>
      <c r="G2" s="1" t="s">
        <v>43</v>
      </c>
      <c r="H2" s="1" t="s">
        <v>44</v>
      </c>
      <c r="I2" s="1">
        <v>60</v>
      </c>
      <c r="J2" s="1">
        <v>16</v>
      </c>
      <c r="K2" s="1">
        <v>3</v>
      </c>
      <c r="L2" s="1">
        <v>5</v>
      </c>
      <c r="M2" s="1">
        <v>22</v>
      </c>
      <c r="N2" s="1">
        <v>25</v>
      </c>
      <c r="O2" s="1" t="s">
        <v>45</v>
      </c>
      <c r="P2" s="1" t="s">
        <v>46</v>
      </c>
      <c r="Q2" s="1" t="s">
        <v>47</v>
      </c>
      <c r="R2" s="1" t="s">
        <v>46</v>
      </c>
      <c r="S2" s="1" t="s">
        <v>48</v>
      </c>
      <c r="T2" s="1" t="s">
        <v>49</v>
      </c>
      <c r="U2" s="1" t="s">
        <v>50</v>
      </c>
    </row>
    <row r="3" spans="1:21" x14ac:dyDescent="0.3">
      <c r="A3" s="1" t="s">
        <v>39</v>
      </c>
      <c r="B3" s="1" t="s">
        <v>40</v>
      </c>
      <c r="C3" s="1" t="s">
        <v>41</v>
      </c>
      <c r="D3" s="1" t="s">
        <v>42</v>
      </c>
      <c r="E3" s="1">
        <v>16</v>
      </c>
      <c r="F3" s="1" t="s">
        <v>14</v>
      </c>
      <c r="G3" s="1" t="s">
        <v>43</v>
      </c>
      <c r="H3" s="1" t="s">
        <v>44</v>
      </c>
      <c r="I3" s="1">
        <v>70</v>
      </c>
      <c r="J3" s="1">
        <v>10</v>
      </c>
      <c r="K3" s="1">
        <v>3</v>
      </c>
      <c r="L3" s="1">
        <v>5</v>
      </c>
      <c r="M3" s="1">
        <v>22</v>
      </c>
      <c r="N3" s="1">
        <v>25</v>
      </c>
      <c r="O3" s="1" t="s">
        <v>52</v>
      </c>
      <c r="P3" s="1" t="s">
        <v>46</v>
      </c>
      <c r="Q3" s="1" t="s">
        <v>47</v>
      </c>
      <c r="R3" s="1" t="s">
        <v>46</v>
      </c>
      <c r="S3" s="1" t="s">
        <v>48</v>
      </c>
      <c r="T3" s="1" t="s">
        <v>49</v>
      </c>
      <c r="U3" s="1" t="s">
        <v>50</v>
      </c>
    </row>
    <row r="4" spans="1:21" x14ac:dyDescent="0.3">
      <c r="A4" s="1" t="s">
        <v>39</v>
      </c>
      <c r="B4" s="1" t="s">
        <v>40</v>
      </c>
      <c r="C4" s="1" t="s">
        <v>41</v>
      </c>
      <c r="D4" s="1" t="s">
        <v>42</v>
      </c>
      <c r="E4" s="1">
        <v>16</v>
      </c>
      <c r="F4" s="1" t="s">
        <v>14</v>
      </c>
      <c r="G4" s="1" t="s">
        <v>43</v>
      </c>
      <c r="H4" s="1" t="s">
        <v>53</v>
      </c>
      <c r="I4" s="1">
        <v>65</v>
      </c>
      <c r="J4" s="1">
        <v>16</v>
      </c>
      <c r="K4" s="1">
        <v>3</v>
      </c>
      <c r="L4" s="1">
        <v>5</v>
      </c>
      <c r="M4" s="1">
        <v>4</v>
      </c>
      <c r="N4" s="1">
        <v>7</v>
      </c>
      <c r="O4" s="1"/>
      <c r="P4" s="1" t="s">
        <v>46</v>
      </c>
      <c r="Q4" s="1" t="s">
        <v>47</v>
      </c>
      <c r="R4" s="1" t="s">
        <v>46</v>
      </c>
      <c r="S4" s="1" t="s">
        <v>48</v>
      </c>
      <c r="T4" s="1" t="s">
        <v>49</v>
      </c>
      <c r="U4" s="1" t="s">
        <v>50</v>
      </c>
    </row>
    <row r="5" spans="1:21" x14ac:dyDescent="0.3">
      <c r="A5" s="1" t="s">
        <v>39</v>
      </c>
      <c r="B5" s="1" t="s">
        <v>40</v>
      </c>
      <c r="C5" s="1" t="s">
        <v>41</v>
      </c>
      <c r="D5" s="1" t="s">
        <v>42</v>
      </c>
      <c r="E5" s="1">
        <v>16</v>
      </c>
      <c r="F5" s="1" t="s">
        <v>14</v>
      </c>
      <c r="G5" s="1" t="s">
        <v>43</v>
      </c>
      <c r="H5" s="1" t="s">
        <v>53</v>
      </c>
      <c r="I5" s="1">
        <v>70</v>
      </c>
      <c r="J5" s="1">
        <v>12</v>
      </c>
      <c r="K5" s="1">
        <v>3</v>
      </c>
      <c r="L5" s="1">
        <v>5</v>
      </c>
      <c r="M5" s="1">
        <v>4</v>
      </c>
      <c r="N5" s="1">
        <v>7</v>
      </c>
      <c r="O5" s="1"/>
      <c r="P5" s="1" t="s">
        <v>46</v>
      </c>
      <c r="Q5" s="1" t="s">
        <v>47</v>
      </c>
      <c r="R5" s="1" t="s">
        <v>46</v>
      </c>
      <c r="S5" s="1" t="s">
        <v>48</v>
      </c>
      <c r="T5" s="1" t="s">
        <v>49</v>
      </c>
      <c r="U5" s="1" t="s">
        <v>50</v>
      </c>
    </row>
    <row r="6" spans="1:21" x14ac:dyDescent="0.3">
      <c r="A6" s="4" t="s">
        <v>39</v>
      </c>
      <c r="B6" s="1" t="s">
        <v>54</v>
      </c>
      <c r="C6" s="4" t="s">
        <v>41</v>
      </c>
      <c r="D6" s="1" t="s">
        <v>42</v>
      </c>
      <c r="E6" s="1">
        <v>16</v>
      </c>
      <c r="F6" s="4" t="s">
        <v>11</v>
      </c>
      <c r="G6" s="1" t="s">
        <v>55</v>
      </c>
      <c r="H6" s="4" t="s">
        <v>44</v>
      </c>
      <c r="I6" s="4">
        <v>60</v>
      </c>
      <c r="J6" s="4">
        <v>16</v>
      </c>
      <c r="K6" s="1">
        <v>3</v>
      </c>
      <c r="L6" s="1">
        <v>6</v>
      </c>
      <c r="M6" s="1">
        <v>25</v>
      </c>
      <c r="N6" s="1">
        <v>29</v>
      </c>
      <c r="O6" s="1" t="s">
        <v>56</v>
      </c>
      <c r="P6" s="1" t="s">
        <v>46</v>
      </c>
      <c r="Q6" s="1" t="s">
        <v>47</v>
      </c>
      <c r="R6" s="1" t="s">
        <v>46</v>
      </c>
      <c r="S6" s="1" t="s">
        <v>48</v>
      </c>
      <c r="T6" s="1" t="s">
        <v>57</v>
      </c>
      <c r="U6" s="1" t="s">
        <v>58</v>
      </c>
    </row>
    <row r="7" spans="1:21" x14ac:dyDescent="0.3">
      <c r="A7" s="1" t="s">
        <v>39</v>
      </c>
      <c r="B7" s="1" t="s">
        <v>54</v>
      </c>
      <c r="C7" s="1" t="s">
        <v>41</v>
      </c>
      <c r="D7" s="1" t="s">
        <v>42</v>
      </c>
      <c r="E7" s="1">
        <v>16</v>
      </c>
      <c r="F7" s="1" t="s">
        <v>11</v>
      </c>
      <c r="G7" s="1" t="s">
        <v>55</v>
      </c>
      <c r="H7" s="1" t="s">
        <v>44</v>
      </c>
      <c r="I7" s="1">
        <v>70</v>
      </c>
      <c r="J7" s="1">
        <v>8</v>
      </c>
      <c r="K7" s="1">
        <v>3</v>
      </c>
      <c r="L7" s="1">
        <v>6</v>
      </c>
      <c r="M7" s="1">
        <v>25</v>
      </c>
      <c r="N7" s="1">
        <v>29</v>
      </c>
      <c r="O7" s="1"/>
      <c r="P7" s="1" t="s">
        <v>46</v>
      </c>
      <c r="Q7" s="1" t="s">
        <v>47</v>
      </c>
      <c r="R7" s="1" t="s">
        <v>46</v>
      </c>
      <c r="S7" s="1" t="s">
        <v>48</v>
      </c>
      <c r="T7" s="1" t="s">
        <v>57</v>
      </c>
      <c r="U7" s="1" t="s">
        <v>58</v>
      </c>
    </row>
    <row r="8" spans="1:21" x14ac:dyDescent="0.3">
      <c r="A8" s="1" t="s">
        <v>39</v>
      </c>
      <c r="B8" s="1" t="s">
        <v>54</v>
      </c>
      <c r="C8" s="1" t="s">
        <v>41</v>
      </c>
      <c r="D8" s="1" t="s">
        <v>42</v>
      </c>
      <c r="E8" s="1">
        <v>16</v>
      </c>
      <c r="F8" s="1" t="s">
        <v>11</v>
      </c>
      <c r="G8" s="1" t="s">
        <v>55</v>
      </c>
      <c r="H8" s="1" t="s">
        <v>53</v>
      </c>
      <c r="I8" s="1">
        <v>65</v>
      </c>
      <c r="J8" s="1">
        <v>16</v>
      </c>
      <c r="K8" s="1">
        <v>3</v>
      </c>
      <c r="L8" s="1">
        <v>6</v>
      </c>
      <c r="M8" s="1">
        <v>5</v>
      </c>
      <c r="N8" s="1">
        <v>10</v>
      </c>
      <c r="O8" s="1"/>
      <c r="P8" s="1" t="s">
        <v>46</v>
      </c>
      <c r="Q8" s="1" t="s">
        <v>47</v>
      </c>
      <c r="R8" s="1" t="s">
        <v>46</v>
      </c>
      <c r="S8" s="1" t="s">
        <v>48</v>
      </c>
      <c r="T8" s="1" t="s">
        <v>57</v>
      </c>
      <c r="U8" s="1" t="s">
        <v>58</v>
      </c>
    </row>
    <row r="9" spans="1:21" x14ac:dyDescent="0.3">
      <c r="A9" s="1" t="s">
        <v>39</v>
      </c>
      <c r="B9" s="1" t="s">
        <v>54</v>
      </c>
      <c r="C9" s="1" t="s">
        <v>41</v>
      </c>
      <c r="D9" s="1" t="s">
        <v>42</v>
      </c>
      <c r="E9" s="1">
        <v>16</v>
      </c>
      <c r="F9" s="1" t="s">
        <v>11</v>
      </c>
      <c r="G9" s="1" t="s">
        <v>55</v>
      </c>
      <c r="H9" s="1" t="s">
        <v>53</v>
      </c>
      <c r="I9" s="1">
        <v>70</v>
      </c>
      <c r="J9" s="1">
        <v>12</v>
      </c>
      <c r="K9" s="1">
        <v>3</v>
      </c>
      <c r="L9" s="1">
        <v>6</v>
      </c>
      <c r="M9" s="1">
        <v>5</v>
      </c>
      <c r="N9" s="1">
        <v>10</v>
      </c>
      <c r="O9" s="1"/>
      <c r="P9" s="1" t="s">
        <v>46</v>
      </c>
      <c r="Q9" s="1" t="s">
        <v>47</v>
      </c>
      <c r="R9" s="1" t="s">
        <v>46</v>
      </c>
      <c r="S9" s="1" t="s">
        <v>48</v>
      </c>
      <c r="T9" s="1" t="s">
        <v>57</v>
      </c>
      <c r="U9" s="1" t="s">
        <v>58</v>
      </c>
    </row>
    <row r="10" spans="1:21" x14ac:dyDescent="0.3">
      <c r="A10" s="1" t="s">
        <v>39</v>
      </c>
      <c r="B10" s="1" t="s">
        <v>59</v>
      </c>
      <c r="C10" s="1" t="s">
        <v>60</v>
      </c>
      <c r="D10" s="1" t="s">
        <v>61</v>
      </c>
      <c r="E10" s="1">
        <v>16</v>
      </c>
      <c r="F10" s="1" t="s">
        <v>14</v>
      </c>
      <c r="G10" s="1" t="s">
        <v>62</v>
      </c>
      <c r="H10" s="1" t="s">
        <v>63</v>
      </c>
      <c r="I10" s="1">
        <v>65</v>
      </c>
      <c r="J10" s="1">
        <v>16</v>
      </c>
      <c r="K10" s="1">
        <v>2</v>
      </c>
      <c r="L10" s="1">
        <v>4</v>
      </c>
      <c r="M10" s="1">
        <v>2</v>
      </c>
      <c r="N10" s="1">
        <v>4</v>
      </c>
      <c r="O10" s="1"/>
      <c r="P10" s="1" t="s">
        <v>46</v>
      </c>
      <c r="Q10" s="1" t="s">
        <v>47</v>
      </c>
      <c r="R10" s="1" t="s">
        <v>46</v>
      </c>
      <c r="S10" s="1" t="s">
        <v>48</v>
      </c>
      <c r="T10" s="1" t="s">
        <v>64</v>
      </c>
      <c r="U10" s="1" t="s">
        <v>65</v>
      </c>
    </row>
    <row r="11" spans="1:21" x14ac:dyDescent="0.3">
      <c r="A11" s="1" t="s">
        <v>39</v>
      </c>
      <c r="B11" s="1" t="s">
        <v>59</v>
      </c>
      <c r="C11" s="1" t="s">
        <v>60</v>
      </c>
      <c r="D11" s="1" t="s">
        <v>61</v>
      </c>
      <c r="E11" s="1">
        <v>16</v>
      </c>
      <c r="F11" s="1" t="s">
        <v>14</v>
      </c>
      <c r="G11" s="1" t="s">
        <v>62</v>
      </c>
      <c r="H11" s="1" t="s">
        <v>63</v>
      </c>
      <c r="I11" s="1">
        <v>70</v>
      </c>
      <c r="J11" s="1">
        <v>12</v>
      </c>
      <c r="K11" s="1">
        <v>2</v>
      </c>
      <c r="L11" s="1">
        <v>4</v>
      </c>
      <c r="M11" s="1">
        <v>2</v>
      </c>
      <c r="N11" s="1">
        <v>4</v>
      </c>
      <c r="O11" s="1"/>
      <c r="P11" s="1" t="s">
        <v>46</v>
      </c>
      <c r="Q11" s="1" t="s">
        <v>47</v>
      </c>
      <c r="R11" s="1" t="s">
        <v>46</v>
      </c>
      <c r="S11" s="1" t="s">
        <v>48</v>
      </c>
      <c r="T11" s="1" t="s">
        <v>64</v>
      </c>
      <c r="U11" s="1" t="s">
        <v>65</v>
      </c>
    </row>
    <row r="12" spans="1:21" x14ac:dyDescent="0.3">
      <c r="A12" s="1" t="s">
        <v>39</v>
      </c>
      <c r="B12" s="1" t="s">
        <v>66</v>
      </c>
      <c r="C12" s="1" t="s">
        <v>67</v>
      </c>
      <c r="D12" s="1" t="s">
        <v>61</v>
      </c>
      <c r="E12" s="1">
        <v>16</v>
      </c>
      <c r="F12" s="1" t="s">
        <v>14</v>
      </c>
      <c r="G12" s="1" t="s">
        <v>68</v>
      </c>
      <c r="H12" s="1" t="s">
        <v>63</v>
      </c>
      <c r="I12" s="1">
        <v>60</v>
      </c>
      <c r="J12" s="1">
        <v>16</v>
      </c>
      <c r="K12" s="1">
        <v>3</v>
      </c>
      <c r="L12" s="1">
        <v>6</v>
      </c>
      <c r="M12" s="1">
        <v>5</v>
      </c>
      <c r="N12" s="1">
        <v>7</v>
      </c>
      <c r="O12" s="1"/>
      <c r="P12" s="1" t="s">
        <v>46</v>
      </c>
      <c r="Q12" s="1" t="s">
        <v>47</v>
      </c>
      <c r="R12" s="1" t="s">
        <v>46</v>
      </c>
      <c r="S12" s="1" t="s">
        <v>48</v>
      </c>
      <c r="T12" s="1" t="s">
        <v>69</v>
      </c>
      <c r="U12" s="1" t="s">
        <v>70</v>
      </c>
    </row>
    <row r="13" spans="1:21" x14ac:dyDescent="0.3">
      <c r="A13" s="1" t="s">
        <v>39</v>
      </c>
      <c r="B13" s="1" t="s">
        <v>66</v>
      </c>
      <c r="C13" s="1" t="s">
        <v>67</v>
      </c>
      <c r="D13" s="1" t="s">
        <v>61</v>
      </c>
      <c r="E13" s="1">
        <v>16</v>
      </c>
      <c r="F13" s="1" t="s">
        <v>14</v>
      </c>
      <c r="G13" s="1" t="s">
        <v>68</v>
      </c>
      <c r="H13" s="1" t="s">
        <v>63</v>
      </c>
      <c r="I13" s="1">
        <v>70</v>
      </c>
      <c r="J13" s="1">
        <v>10</v>
      </c>
      <c r="K13" s="1">
        <v>3</v>
      </c>
      <c r="L13" s="1">
        <v>6</v>
      </c>
      <c r="M13" s="1">
        <v>5</v>
      </c>
      <c r="N13" s="1">
        <v>7</v>
      </c>
      <c r="O13" s="1"/>
      <c r="P13" s="1" t="s">
        <v>46</v>
      </c>
      <c r="Q13" s="1" t="s">
        <v>47</v>
      </c>
      <c r="R13" s="1" t="s">
        <v>46</v>
      </c>
      <c r="S13" s="1" t="s">
        <v>48</v>
      </c>
      <c r="T13" s="1" t="s">
        <v>69</v>
      </c>
      <c r="U13" s="1" t="s">
        <v>70</v>
      </c>
    </row>
    <row r="14" spans="1:21" x14ac:dyDescent="0.3">
      <c r="A14" s="1" t="s">
        <v>71</v>
      </c>
      <c r="B14" s="1" t="s">
        <v>72</v>
      </c>
      <c r="C14" s="1" t="s">
        <v>120</v>
      </c>
      <c r="D14" s="1" t="s">
        <v>73</v>
      </c>
      <c r="E14" s="1">
        <v>16</v>
      </c>
      <c r="F14" s="1" t="s">
        <v>14</v>
      </c>
      <c r="G14" s="1" t="s">
        <v>74</v>
      </c>
      <c r="H14" s="1" t="s">
        <v>75</v>
      </c>
      <c r="I14" s="1">
        <v>70</v>
      </c>
      <c r="J14" s="1">
        <v>16</v>
      </c>
      <c r="K14" s="1">
        <v>0</v>
      </c>
      <c r="L14" s="1">
        <v>0</v>
      </c>
      <c r="M14" s="1">
        <v>0</v>
      </c>
      <c r="N14" s="1">
        <v>0</v>
      </c>
      <c r="O14" s="1" t="s">
        <v>76</v>
      </c>
      <c r="P14" s="1" t="s">
        <v>77</v>
      </c>
      <c r="Q14" s="1" t="s">
        <v>47</v>
      </c>
      <c r="R14" s="1" t="s">
        <v>46</v>
      </c>
      <c r="S14" s="1" t="s">
        <v>48</v>
      </c>
      <c r="T14" s="1" t="s">
        <v>78</v>
      </c>
      <c r="U14" s="1" t="s">
        <v>79</v>
      </c>
    </row>
    <row r="15" spans="1:21" x14ac:dyDescent="0.3">
      <c r="A15" s="1" t="s">
        <v>71</v>
      </c>
      <c r="B15" s="1" t="s">
        <v>80</v>
      </c>
      <c r="C15" s="1" t="s">
        <v>60</v>
      </c>
      <c r="D15" s="1" t="s">
        <v>81</v>
      </c>
      <c r="E15" s="1">
        <v>16</v>
      </c>
      <c r="F15" s="1" t="s">
        <v>14</v>
      </c>
      <c r="G15" s="1" t="s">
        <v>82</v>
      </c>
      <c r="H15" s="1" t="s">
        <v>75</v>
      </c>
      <c r="I15" s="1">
        <v>70</v>
      </c>
      <c r="J15" s="1">
        <v>16</v>
      </c>
      <c r="K15" s="1">
        <v>0</v>
      </c>
      <c r="L15" s="1">
        <v>0</v>
      </c>
      <c r="M15" s="1">
        <v>0</v>
      </c>
      <c r="N15" s="1">
        <v>0</v>
      </c>
      <c r="O15" s="1" t="s">
        <v>76</v>
      </c>
      <c r="P15" s="1" t="s">
        <v>46</v>
      </c>
      <c r="Q15" s="1" t="s">
        <v>47</v>
      </c>
      <c r="R15" s="1" t="s">
        <v>46</v>
      </c>
      <c r="S15" s="1" t="s">
        <v>48</v>
      </c>
      <c r="T15" s="1" t="s">
        <v>83</v>
      </c>
      <c r="U15" s="1" t="s">
        <v>84</v>
      </c>
    </row>
    <row r="16" spans="1:21" x14ac:dyDescent="0.3">
      <c r="A16" s="1" t="s">
        <v>71</v>
      </c>
      <c r="B16" s="1" t="s">
        <v>85</v>
      </c>
      <c r="C16" s="1" t="s">
        <v>86</v>
      </c>
      <c r="D16" s="1" t="s">
        <v>63</v>
      </c>
      <c r="E16" s="1">
        <v>0</v>
      </c>
      <c r="F16" s="1" t="s">
        <v>14</v>
      </c>
      <c r="G16" s="1" t="s">
        <v>87</v>
      </c>
      <c r="H16" s="1" t="s">
        <v>63</v>
      </c>
      <c r="I16" s="1">
        <v>70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/>
      <c r="P16" s="1" t="s">
        <v>77</v>
      </c>
      <c r="Q16" s="1" t="s">
        <v>47</v>
      </c>
      <c r="R16" s="1" t="s">
        <v>46</v>
      </c>
      <c r="S16" s="1" t="s">
        <v>48</v>
      </c>
      <c r="T16" s="1" t="s">
        <v>88</v>
      </c>
      <c r="U16" s="1" t="s">
        <v>89</v>
      </c>
    </row>
    <row r="17" spans="1:21" x14ac:dyDescent="0.3">
      <c r="A17" s="1" t="s">
        <v>71</v>
      </c>
      <c r="B17" s="1" t="s">
        <v>90</v>
      </c>
      <c r="C17" s="1" t="s">
        <v>86</v>
      </c>
      <c r="D17" s="1" t="s">
        <v>63</v>
      </c>
      <c r="E17" s="1">
        <v>0</v>
      </c>
      <c r="F17" s="1" t="s">
        <v>14</v>
      </c>
      <c r="G17" s="1" t="s">
        <v>91</v>
      </c>
      <c r="H17" s="1" t="s">
        <v>63</v>
      </c>
      <c r="I17" s="1">
        <v>70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/>
      <c r="P17" s="1" t="s">
        <v>77</v>
      </c>
      <c r="Q17" s="1" t="s">
        <v>47</v>
      </c>
      <c r="R17" s="1" t="s">
        <v>46</v>
      </c>
      <c r="S17" s="1" t="s">
        <v>48</v>
      </c>
      <c r="T17" s="1" t="s">
        <v>92</v>
      </c>
      <c r="U17" s="1" t="s">
        <v>93</v>
      </c>
    </row>
    <row r="18" spans="1:21" x14ac:dyDescent="0.3">
      <c r="A18" s="1" t="s">
        <v>71</v>
      </c>
      <c r="B18" s="1" t="s">
        <v>94</v>
      </c>
      <c r="C18" s="1" t="s">
        <v>86</v>
      </c>
      <c r="D18" s="1" t="s">
        <v>63</v>
      </c>
      <c r="E18" s="1">
        <v>0</v>
      </c>
      <c r="F18" s="1" t="s">
        <v>14</v>
      </c>
      <c r="G18" s="1" t="s">
        <v>95</v>
      </c>
      <c r="H18" s="1" t="s">
        <v>63</v>
      </c>
      <c r="I18" s="1">
        <v>70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/>
      <c r="P18" s="1" t="s">
        <v>77</v>
      </c>
      <c r="Q18" s="1" t="s">
        <v>47</v>
      </c>
      <c r="R18" s="1" t="s">
        <v>46</v>
      </c>
      <c r="S18" s="1" t="s">
        <v>48</v>
      </c>
      <c r="T18" s="1" t="s">
        <v>96</v>
      </c>
      <c r="U18" s="1" t="s">
        <v>97</v>
      </c>
    </row>
  </sheetData>
  <autoFilter ref="A1:U18" xr:uid="{00000000-0001-0000-01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="154" zoomScaleNormal="130" workbookViewId="0">
      <selection activeCell="D14" sqref="D14"/>
    </sheetView>
  </sheetViews>
  <sheetFormatPr defaultRowHeight="14.4" x14ac:dyDescent="0.3"/>
  <cols>
    <col min="1" max="1" width="28" bestFit="1" customWidth="1"/>
    <col min="2" max="2" width="9.5546875" customWidth="1"/>
    <col min="3" max="3" width="12.21875" customWidth="1"/>
    <col min="4" max="4" width="12.88671875" bestFit="1" customWidth="1"/>
  </cols>
  <sheetData>
    <row r="1" spans="1:4" x14ac:dyDescent="0.3">
      <c r="A1" t="s">
        <v>98</v>
      </c>
      <c r="B1" t="s">
        <v>99</v>
      </c>
      <c r="C1" t="s">
        <v>100</v>
      </c>
      <c r="D1" t="s">
        <v>32</v>
      </c>
    </row>
    <row r="2" spans="1:4" x14ac:dyDescent="0.3">
      <c r="A2" t="s">
        <v>101</v>
      </c>
      <c r="B2">
        <v>6</v>
      </c>
      <c r="C2" t="s">
        <v>100</v>
      </c>
    </row>
    <row r="3" spans="1:4" x14ac:dyDescent="0.3">
      <c r="A3" t="s">
        <v>102</v>
      </c>
      <c r="B3">
        <v>96</v>
      </c>
      <c r="C3" t="s">
        <v>103</v>
      </c>
      <c r="D3" t="s">
        <v>104</v>
      </c>
    </row>
    <row r="4" spans="1:4" x14ac:dyDescent="0.3">
      <c r="A4" t="s">
        <v>105</v>
      </c>
      <c r="B4">
        <v>8</v>
      </c>
      <c r="C4" t="s">
        <v>103</v>
      </c>
    </row>
    <row r="5" spans="1:4" x14ac:dyDescent="0.3">
      <c r="A5" t="s">
        <v>106</v>
      </c>
      <c r="B5">
        <v>0.66</v>
      </c>
      <c r="C5" t="s">
        <v>107</v>
      </c>
    </row>
    <row r="6" spans="1:4" x14ac:dyDescent="0.3">
      <c r="A6" t="s">
        <v>108</v>
      </c>
      <c r="B6">
        <v>1.3</v>
      </c>
      <c r="C6" t="s">
        <v>107</v>
      </c>
    </row>
    <row r="7" spans="1:4" x14ac:dyDescent="0.3">
      <c r="A7" t="s">
        <v>109</v>
      </c>
      <c r="B7">
        <v>2</v>
      </c>
      <c r="C7" t="s">
        <v>107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workbookViewId="0">
      <selection activeCell="G20" sqref="G20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19.21875" bestFit="1" customWidth="1"/>
  </cols>
  <sheetData>
    <row r="1" spans="1:3" x14ac:dyDescent="0.3">
      <c r="A1" t="s">
        <v>110</v>
      </c>
      <c r="B1" t="s">
        <v>26</v>
      </c>
      <c r="C1" t="s">
        <v>111</v>
      </c>
    </row>
    <row r="2" spans="1:3" x14ac:dyDescent="0.3">
      <c r="A2">
        <v>-40</v>
      </c>
      <c r="B2">
        <v>40</v>
      </c>
      <c r="C2">
        <v>10.56</v>
      </c>
    </row>
    <row r="3" spans="1:3" x14ac:dyDescent="0.3">
      <c r="A3">
        <v>40</v>
      </c>
      <c r="B3">
        <v>50</v>
      </c>
      <c r="C3">
        <v>9.7100000000000009</v>
      </c>
    </row>
    <row r="4" spans="1:3" x14ac:dyDescent="0.3">
      <c r="A4">
        <v>50</v>
      </c>
      <c r="B4">
        <v>60</v>
      </c>
      <c r="C4">
        <v>8.85</v>
      </c>
    </row>
    <row r="5" spans="1:3" x14ac:dyDescent="0.3">
      <c r="A5">
        <v>60</v>
      </c>
      <c r="B5">
        <v>70</v>
      </c>
      <c r="C5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Controller_Limits</vt:lpstr>
      <vt:lpstr>Mounting_Rule</vt:lpstr>
      <vt:lpstr>IO_Module_Catalog_Main</vt:lpstr>
      <vt:lpstr>IO_Module_Catalog</vt:lpstr>
      <vt:lpstr>NIO_System_Constraints</vt:lpstr>
      <vt:lpstr>NIO_Ambient_Current_Limits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Kapil Desai</cp:lastModifiedBy>
  <dcterms:created xsi:type="dcterms:W3CDTF">2026-01-25T20:58:45Z</dcterms:created>
  <dcterms:modified xsi:type="dcterms:W3CDTF">2026-03-01T17:17:21Z</dcterms:modified>
</cp:coreProperties>
</file>