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templates\"/>
    </mc:Choice>
  </mc:AlternateContent>
  <xr:revisionPtr revIDLastSave="0" documentId="13_ncr:1_{97410CFF-900A-47DE-A64C-499715BB8F29}" xr6:coauthVersionLast="47" xr6:coauthVersionMax="47" xr10:uidLastSave="{00000000-0000-0000-0000-000000000000}"/>
  <bookViews>
    <workbookView xWindow="492" yWindow="1884" windowWidth="17280" windowHeight="8880" activeTab="4" xr2:uid="{00000000-000D-0000-FFFF-FFFF00000000}"/>
  </bookViews>
  <sheets>
    <sheet name="Hardware Conf" sheetId="1" r:id="rId1"/>
    <sheet name="FIO" sheetId="3" r:id="rId2"/>
    <sheet name="Design Input Review" sheetId="2" r:id="rId3"/>
    <sheet name="Sheet1" sheetId="4" r:id="rId4"/>
    <sheet name="Module Calcul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5" i="5"/>
  <c r="C13" i="5"/>
  <c r="E4" i="5"/>
  <c r="F4" i="5" s="1"/>
  <c r="G4" i="5" s="1"/>
  <c r="H4" i="5" s="1"/>
  <c r="J3" i="5"/>
  <c r="K3" i="5" s="1"/>
  <c r="E3" i="5"/>
  <c r="F3" i="5" s="1"/>
  <c r="G3" i="5" s="1"/>
  <c r="H3" i="5" s="1"/>
  <c r="E2" i="5"/>
  <c r="F2" i="5" s="1"/>
  <c r="P5" i="2"/>
  <c r="O5" i="2"/>
  <c r="M7" i="2"/>
  <c r="L7" i="2"/>
  <c r="K7" i="2"/>
  <c r="M6" i="2"/>
  <c r="M5" i="2"/>
  <c r="M4" i="2"/>
  <c r="L6" i="2"/>
  <c r="L5" i="2"/>
  <c r="L4" i="2"/>
  <c r="K6" i="2"/>
  <c r="K5" i="2"/>
  <c r="K4" i="2"/>
  <c r="J6" i="2"/>
  <c r="J5" i="2"/>
  <c r="J4" i="2"/>
  <c r="F5" i="5" l="1"/>
  <c r="G2" i="5"/>
  <c r="G5" i="5" l="1"/>
  <c r="H2" i="5"/>
  <c r="H5" i="5" s="1"/>
</calcChain>
</file>

<file path=xl/sharedStrings.xml><?xml version="1.0" encoding="utf-8"?>
<sst xmlns="http://schemas.openxmlformats.org/spreadsheetml/2006/main" count="52" uniqueCount="36">
  <si>
    <t>ESD</t>
  </si>
  <si>
    <t>AI</t>
  </si>
  <si>
    <t>IO_Type</t>
  </si>
  <si>
    <t>System</t>
  </si>
  <si>
    <t>Module Name</t>
  </si>
  <si>
    <t>Nos of Channel</t>
  </si>
  <si>
    <t>SAI143H</t>
  </si>
  <si>
    <t>SDV144</t>
  </si>
  <si>
    <t>SDV541</t>
  </si>
  <si>
    <t>DI</t>
  </si>
  <si>
    <t>DO</t>
  </si>
  <si>
    <t>System Type</t>
  </si>
  <si>
    <t>FIO</t>
  </si>
  <si>
    <t>PID_TAG</t>
  </si>
  <si>
    <t>signal_origin</t>
  </si>
  <si>
    <t>IO_REDUNDANCY</t>
  </si>
  <si>
    <t>IS_Non_IS</t>
  </si>
  <si>
    <t>JB_Cable_Name</t>
  </si>
  <si>
    <t>Node</t>
  </si>
  <si>
    <t>No of Module</t>
  </si>
  <si>
    <t>ESD, FGS, DCS</t>
  </si>
  <si>
    <t>Signal is redundant or not ?</t>
  </si>
  <si>
    <t>Required Column / User Inputs</t>
  </si>
  <si>
    <t>Description</t>
  </si>
  <si>
    <t>Sr No</t>
  </si>
  <si>
    <t>Remarks</t>
  </si>
  <si>
    <t>Spare Channel Requirement</t>
  </si>
  <si>
    <r>
      <t xml:space="preserve">Signal is IS or Non IS ?
</t>
    </r>
    <r>
      <rPr>
        <sz val="11"/>
        <color rgb="FFFF0000"/>
        <rFont val="Calibri"/>
        <family val="2"/>
        <scheme val="minor"/>
      </rPr>
      <t>Whether IS / NIS signals should be in separate modules ? - Should we give that user selection option ?</t>
    </r>
  </si>
  <si>
    <r>
      <t xml:space="preserve">To keep signals together in same module .. 
</t>
    </r>
    <r>
      <rPr>
        <sz val="11"/>
        <color rgb="FFFF0000"/>
        <rFont val="Calibri"/>
        <family val="2"/>
        <scheme val="minor"/>
      </rPr>
      <t>If this is available, how to use in Design Input Review Module ?</t>
    </r>
  </si>
  <si>
    <t>JB Cable Name
IO Type - keep in same card
Voting - Keep it in respective 2 or 3 modules
IS / NIS
Barrier Board or Individual Barrier ?
If Individual Barrier - fall back to AI type wise segreation 
If it is Barrier Board - then assign IOs in Separate Module</t>
  </si>
  <si>
    <t>Wired Spares %</t>
  </si>
  <si>
    <t xml:space="preserve">IO Redundancy </t>
  </si>
  <si>
    <t xml:space="preserve">IS/Non-IS Type </t>
  </si>
  <si>
    <t xml:space="preserve">Controller Model </t>
  </si>
  <si>
    <t>Explosion Protection</t>
  </si>
  <si>
    <t>Temperature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</si>
</sst>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333333"/>
      <name val="Segoe UI"/>
      <family val="2"/>
    </font>
    <font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160" zoomScaleNormal="160" workbookViewId="0">
      <selection activeCell="D13" sqref="D13"/>
    </sheetView>
  </sheetViews>
  <sheetFormatPr defaultRowHeight="14.4" x14ac:dyDescent="0.3"/>
  <cols>
    <col min="1" max="3" width="12.109375" customWidth="1"/>
    <col min="4" max="4" width="17.21875" customWidth="1"/>
    <col min="5" max="5" width="18.88671875" customWidth="1"/>
  </cols>
  <sheetData>
    <row r="1" spans="1:5" x14ac:dyDescent="0.3">
      <c r="A1" s="2" t="s">
        <v>11</v>
      </c>
      <c r="B1" s="2" t="s">
        <v>3</v>
      </c>
      <c r="C1" s="2" t="s">
        <v>2</v>
      </c>
      <c r="D1" s="2" t="s">
        <v>4</v>
      </c>
      <c r="E1" s="2" t="s">
        <v>5</v>
      </c>
    </row>
    <row r="2" spans="1:5" x14ac:dyDescent="0.3">
      <c r="A2" s="1" t="s">
        <v>12</v>
      </c>
      <c r="B2" s="1" t="s">
        <v>0</v>
      </c>
      <c r="C2" s="1" t="s">
        <v>1</v>
      </c>
      <c r="D2" s="1" t="s">
        <v>6</v>
      </c>
      <c r="E2" s="1">
        <v>16</v>
      </c>
    </row>
    <row r="3" spans="1:5" x14ac:dyDescent="0.3">
      <c r="A3" s="1" t="s">
        <v>12</v>
      </c>
      <c r="B3" s="1" t="s">
        <v>0</v>
      </c>
      <c r="C3" s="1" t="s">
        <v>9</v>
      </c>
      <c r="D3" s="1" t="s">
        <v>7</v>
      </c>
      <c r="E3" s="1">
        <v>16</v>
      </c>
    </row>
    <row r="4" spans="1:5" x14ac:dyDescent="0.3">
      <c r="A4" s="1" t="s">
        <v>12</v>
      </c>
      <c r="B4" s="1" t="s">
        <v>0</v>
      </c>
      <c r="C4" s="1" t="s">
        <v>10</v>
      </c>
      <c r="D4" s="1" t="s">
        <v>8</v>
      </c>
      <c r="E4" s="1">
        <v>16</v>
      </c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E864-8825-4277-A4F7-90C5F6734418}">
  <dimension ref="A1:D12"/>
  <sheetViews>
    <sheetView zoomScale="160" zoomScaleNormal="160" workbookViewId="0">
      <selection activeCell="B15" sqref="B15"/>
    </sheetView>
  </sheetViews>
  <sheetFormatPr defaultRowHeight="14.4" x14ac:dyDescent="0.3"/>
  <cols>
    <col min="1" max="1" width="11.6640625" bestFit="1" customWidth="1"/>
    <col min="2" max="3" width="15.44140625" customWidth="1"/>
    <col min="4" max="4" width="10.44140625" bestFit="1" customWidth="1"/>
  </cols>
  <sheetData>
    <row r="1" spans="1:4" x14ac:dyDescent="0.3">
      <c r="A1" s="2" t="s">
        <v>11</v>
      </c>
      <c r="B1" s="2" t="s">
        <v>18</v>
      </c>
      <c r="C1" s="2" t="s">
        <v>19</v>
      </c>
      <c r="D1" s="2"/>
    </row>
    <row r="2" spans="1:4" x14ac:dyDescent="0.3">
      <c r="A2" s="1" t="s">
        <v>12</v>
      </c>
      <c r="B2" s="1">
        <v>1</v>
      </c>
      <c r="C2" s="1">
        <v>6</v>
      </c>
    </row>
    <row r="3" spans="1:4" x14ac:dyDescent="0.3">
      <c r="A3" s="1" t="s">
        <v>12</v>
      </c>
      <c r="B3" s="1">
        <v>2</v>
      </c>
      <c r="C3" s="1">
        <v>8</v>
      </c>
    </row>
    <row r="4" spans="1:4" x14ac:dyDescent="0.3">
      <c r="A4" s="1" t="s">
        <v>12</v>
      </c>
      <c r="B4" s="1">
        <v>3</v>
      </c>
      <c r="C4" s="1">
        <v>8</v>
      </c>
    </row>
    <row r="5" spans="1:4" x14ac:dyDescent="0.3">
      <c r="A5" s="1" t="s">
        <v>12</v>
      </c>
      <c r="B5" s="1">
        <v>4</v>
      </c>
      <c r="C5" s="1">
        <v>8</v>
      </c>
    </row>
    <row r="6" spans="1:4" x14ac:dyDescent="0.3">
      <c r="A6" s="1" t="s">
        <v>12</v>
      </c>
      <c r="B6" s="1">
        <v>5</v>
      </c>
      <c r="C6" s="1">
        <v>8</v>
      </c>
    </row>
    <row r="7" spans="1:4" x14ac:dyDescent="0.3">
      <c r="A7" s="1" t="s">
        <v>12</v>
      </c>
      <c r="B7" s="1">
        <v>6</v>
      </c>
      <c r="C7" s="1">
        <v>8</v>
      </c>
    </row>
    <row r="8" spans="1:4" x14ac:dyDescent="0.3">
      <c r="A8" s="1" t="s">
        <v>12</v>
      </c>
      <c r="B8" s="1">
        <v>7</v>
      </c>
      <c r="C8" s="1">
        <v>8</v>
      </c>
    </row>
    <row r="9" spans="1:4" x14ac:dyDescent="0.3">
      <c r="A9" s="1" t="s">
        <v>12</v>
      </c>
      <c r="B9" s="1">
        <v>8</v>
      </c>
      <c r="C9" s="1">
        <v>8</v>
      </c>
    </row>
    <row r="10" spans="1:4" x14ac:dyDescent="0.3">
      <c r="A10" s="1" t="s">
        <v>12</v>
      </c>
      <c r="B10" s="1">
        <v>9</v>
      </c>
      <c r="C10" s="1">
        <v>8</v>
      </c>
    </row>
    <row r="11" spans="1:4" x14ac:dyDescent="0.3">
      <c r="A11" s="1" t="s">
        <v>12</v>
      </c>
      <c r="B11" s="1">
        <v>10</v>
      </c>
      <c r="C11" s="1">
        <v>8</v>
      </c>
    </row>
    <row r="12" spans="1:4" x14ac:dyDescent="0.3">
      <c r="A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331C-F9A1-4A1F-BFF3-07C529DB8C30}">
  <dimension ref="A1:P14"/>
  <sheetViews>
    <sheetView topLeftCell="E3" zoomScale="130" zoomScaleNormal="130" workbookViewId="0">
      <selection activeCell="H4" sqref="H4:P7"/>
    </sheetView>
  </sheetViews>
  <sheetFormatPr defaultRowHeight="14.4" x14ac:dyDescent="0.3"/>
  <cols>
    <col min="2" max="2" width="24.88671875" style="3" customWidth="1"/>
    <col min="3" max="3" width="58.77734375" customWidth="1"/>
    <col min="4" max="4" width="16.77734375" customWidth="1"/>
  </cols>
  <sheetData>
    <row r="1" spans="1:16" ht="28.8" x14ac:dyDescent="0.3">
      <c r="A1" s="7" t="s">
        <v>24</v>
      </c>
      <c r="B1" s="9" t="s">
        <v>22</v>
      </c>
      <c r="C1" s="7" t="s">
        <v>23</v>
      </c>
      <c r="D1" s="7" t="s">
        <v>25</v>
      </c>
    </row>
    <row r="2" spans="1:16" x14ac:dyDescent="0.3">
      <c r="A2" s="4">
        <v>1</v>
      </c>
      <c r="B2" s="6" t="s">
        <v>13</v>
      </c>
      <c r="C2" s="4"/>
      <c r="D2" s="4"/>
    </row>
    <row r="3" spans="1:16" x14ac:dyDescent="0.3">
      <c r="A3" s="4">
        <v>2</v>
      </c>
      <c r="B3" s="6" t="s">
        <v>14</v>
      </c>
      <c r="C3" s="4" t="s">
        <v>20</v>
      </c>
      <c r="D3" s="4"/>
    </row>
    <row r="4" spans="1:16" x14ac:dyDescent="0.3">
      <c r="A4" s="4">
        <v>3</v>
      </c>
      <c r="B4" s="6" t="s">
        <v>15</v>
      </c>
      <c r="C4" s="8" t="s">
        <v>21</v>
      </c>
      <c r="D4" s="4"/>
      <c r="H4">
        <v>148</v>
      </c>
      <c r="I4">
        <v>16</v>
      </c>
      <c r="J4">
        <f>H4/I4</f>
        <v>9.25</v>
      </c>
      <c r="K4">
        <f>ROUNDUP(J4, 0)</f>
        <v>10</v>
      </c>
      <c r="L4">
        <f>I4*K4</f>
        <v>160</v>
      </c>
      <c r="M4">
        <f>L4-H4</f>
        <v>12</v>
      </c>
    </row>
    <row r="5" spans="1:16" ht="43.2" x14ac:dyDescent="0.3">
      <c r="A5" s="4">
        <v>4</v>
      </c>
      <c r="B5" s="6" t="s">
        <v>16</v>
      </c>
      <c r="C5" s="8" t="s">
        <v>27</v>
      </c>
      <c r="D5" s="4"/>
      <c r="H5">
        <v>324</v>
      </c>
      <c r="I5">
        <v>16</v>
      </c>
      <c r="J5">
        <f t="shared" ref="J5:J6" si="0">H5/I5</f>
        <v>20.25</v>
      </c>
      <c r="K5">
        <f t="shared" ref="K5:K6" si="1">ROUNDUP(J5, 0)</f>
        <v>21</v>
      </c>
      <c r="L5">
        <f t="shared" ref="L5:L6" si="2">I5*K5</f>
        <v>336</v>
      </c>
      <c r="M5">
        <f t="shared" ref="M5:M6" si="3">L5-H5</f>
        <v>12</v>
      </c>
      <c r="O5">
        <f>555*0.2+555</f>
        <v>666</v>
      </c>
      <c r="P5">
        <f>O5/16</f>
        <v>41.625</v>
      </c>
    </row>
    <row r="6" spans="1:16" ht="28.8" x14ac:dyDescent="0.3">
      <c r="A6" s="4">
        <v>5</v>
      </c>
      <c r="B6" s="6" t="s">
        <v>17</v>
      </c>
      <c r="C6" s="8" t="s">
        <v>28</v>
      </c>
      <c r="D6" s="4"/>
      <c r="H6">
        <v>194</v>
      </c>
      <c r="I6">
        <v>16</v>
      </c>
      <c r="J6">
        <f t="shared" si="0"/>
        <v>12.125</v>
      </c>
      <c r="K6">
        <f t="shared" si="1"/>
        <v>13</v>
      </c>
      <c r="L6">
        <f t="shared" si="2"/>
        <v>208</v>
      </c>
      <c r="M6">
        <f t="shared" si="3"/>
        <v>14</v>
      </c>
    </row>
    <row r="7" spans="1:16" x14ac:dyDescent="0.3">
      <c r="A7" s="4">
        <v>6</v>
      </c>
      <c r="B7" s="5" t="s">
        <v>26</v>
      </c>
      <c r="C7" s="4"/>
      <c r="D7" s="4"/>
      <c r="K7">
        <f>SUM(K4:K6)</f>
        <v>44</v>
      </c>
      <c r="L7">
        <f t="shared" ref="L7:M7" si="4">SUM(L4:L6)</f>
        <v>704</v>
      </c>
      <c r="M7">
        <f t="shared" si="4"/>
        <v>38</v>
      </c>
    </row>
    <row r="8" spans="1:16" ht="129.6" x14ac:dyDescent="0.3">
      <c r="A8" s="4"/>
      <c r="B8" s="5"/>
      <c r="C8" s="8" t="s">
        <v>29</v>
      </c>
      <c r="D8" s="4"/>
    </row>
    <row r="9" spans="1:16" x14ac:dyDescent="0.3">
      <c r="A9" s="4"/>
      <c r="B9" s="5"/>
      <c r="C9" s="4"/>
      <c r="D9" s="4"/>
    </row>
    <row r="10" spans="1:16" x14ac:dyDescent="0.3">
      <c r="A10" s="4"/>
      <c r="B10" s="5"/>
      <c r="C10" s="4"/>
      <c r="D10" s="4"/>
    </row>
    <row r="11" spans="1:16" x14ac:dyDescent="0.3">
      <c r="A11" s="4"/>
      <c r="B11" s="5"/>
      <c r="C11" s="4"/>
      <c r="D11" s="4"/>
    </row>
    <row r="12" spans="1:16" x14ac:dyDescent="0.3">
      <c r="A12" s="4"/>
      <c r="B12" s="5"/>
      <c r="C12" s="4"/>
      <c r="D12" s="4"/>
    </row>
    <row r="13" spans="1:16" x14ac:dyDescent="0.3">
      <c r="A13" s="4"/>
      <c r="B13" s="5"/>
      <c r="C13" s="4"/>
      <c r="D13" s="4"/>
    </row>
    <row r="14" spans="1:16" x14ac:dyDescent="0.3">
      <c r="A14" s="4"/>
      <c r="B14" s="5"/>
      <c r="C14" s="4"/>
      <c r="D14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5FC6-AD6B-4168-A87F-23D367259FC5}">
  <dimension ref="C2:I7"/>
  <sheetViews>
    <sheetView workbookViewId="0">
      <selection activeCell="E17" sqref="E17"/>
    </sheetView>
  </sheetViews>
  <sheetFormatPr defaultRowHeight="14.4" x14ac:dyDescent="0.3"/>
  <cols>
    <col min="3" max="3" width="24.5546875" bestFit="1" customWidth="1"/>
    <col min="5" max="5" width="24" bestFit="1" customWidth="1"/>
    <col min="7" max="7" width="19.21875" bestFit="1" customWidth="1"/>
  </cols>
  <sheetData>
    <row r="2" spans="3:9" ht="20.399999999999999" x14ac:dyDescent="0.45">
      <c r="C2" s="10" t="s">
        <v>11</v>
      </c>
      <c r="D2" s="11"/>
      <c r="E2" s="11" t="s">
        <v>30</v>
      </c>
      <c r="F2" s="11"/>
      <c r="G2" s="11" t="s">
        <v>31</v>
      </c>
      <c r="H2" s="11"/>
      <c r="I2" s="11"/>
    </row>
    <row r="3" spans="3:9" ht="20.399999999999999" x14ac:dyDescent="0.45">
      <c r="C3" s="11"/>
      <c r="D3" s="11"/>
      <c r="E3" s="11"/>
      <c r="F3" s="11"/>
      <c r="G3" s="11"/>
      <c r="H3" s="11"/>
      <c r="I3" s="11"/>
    </row>
    <row r="4" spans="3:9" ht="20.399999999999999" x14ac:dyDescent="0.45">
      <c r="C4" s="11" t="s">
        <v>33</v>
      </c>
      <c r="D4" s="11"/>
      <c r="E4" s="11"/>
      <c r="F4" s="11"/>
      <c r="G4" s="11"/>
      <c r="H4" s="11"/>
      <c r="I4" s="11"/>
    </row>
    <row r="5" spans="3:9" ht="20.399999999999999" x14ac:dyDescent="0.45">
      <c r="C5" s="11"/>
      <c r="D5" s="11"/>
      <c r="E5" s="11"/>
      <c r="F5" s="11"/>
      <c r="G5" s="11" t="s">
        <v>32</v>
      </c>
      <c r="H5" s="11"/>
      <c r="I5" s="11"/>
    </row>
    <row r="6" spans="3:9" ht="20.399999999999999" x14ac:dyDescent="0.45">
      <c r="C6" s="11" t="s">
        <v>34</v>
      </c>
      <c r="D6" s="11"/>
      <c r="E6" s="11" t="s">
        <v>35</v>
      </c>
      <c r="F6" s="11"/>
      <c r="G6" s="11"/>
      <c r="H6" s="11"/>
      <c r="I6" s="11"/>
    </row>
    <row r="7" spans="3:9" ht="20.399999999999999" x14ac:dyDescent="0.45">
      <c r="C7" s="11"/>
      <c r="D7" s="11"/>
      <c r="E7" s="11"/>
      <c r="F7" s="11"/>
      <c r="G7" s="11"/>
      <c r="H7" s="11"/>
      <c r="I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E18D-B3BC-4CEE-BA2B-E89B3B056095}">
  <dimension ref="A2:K13"/>
  <sheetViews>
    <sheetView tabSelected="1" zoomScale="191" workbookViewId="0">
      <selection activeCell="C6" sqref="C6"/>
    </sheetView>
  </sheetViews>
  <sheetFormatPr defaultRowHeight="14.4" x14ac:dyDescent="0.3"/>
  <sheetData>
    <row r="2" spans="1:11" x14ac:dyDescent="0.3">
      <c r="A2">
        <v>93</v>
      </c>
      <c r="B2">
        <v>30</v>
      </c>
      <c r="C2">
        <v>148</v>
      </c>
      <c r="D2">
        <v>16</v>
      </c>
      <c r="E2">
        <f>C2/D2</f>
        <v>9.25</v>
      </c>
      <c r="F2">
        <f>ROUNDUP(E2, 0)</f>
        <v>10</v>
      </c>
      <c r="G2">
        <f>D2*F2</f>
        <v>160</v>
      </c>
      <c r="H2">
        <f>G2-C2</f>
        <v>12</v>
      </c>
    </row>
    <row r="3" spans="1:11" x14ac:dyDescent="0.3">
      <c r="A3">
        <v>110</v>
      </c>
      <c r="B3">
        <v>160</v>
      </c>
      <c r="C3">
        <v>324</v>
      </c>
      <c r="D3">
        <v>16</v>
      </c>
      <c r="E3">
        <f t="shared" ref="E3:E4" si="0">C3/D3</f>
        <v>20.25</v>
      </c>
      <c r="F3">
        <f t="shared" ref="F3:F4" si="1">ROUNDUP(E3, 0)</f>
        <v>21</v>
      </c>
      <c r="G3">
        <f t="shared" ref="G3:G4" si="2">D3*F3</f>
        <v>336</v>
      </c>
      <c r="H3">
        <f t="shared" ref="H3:H4" si="3">G3-C3</f>
        <v>12</v>
      </c>
      <c r="J3">
        <f>555*0.2+555</f>
        <v>666</v>
      </c>
      <c r="K3">
        <f>J3/16</f>
        <v>41.625</v>
      </c>
    </row>
    <row r="4" spans="1:11" x14ac:dyDescent="0.3">
      <c r="A4">
        <v>45</v>
      </c>
      <c r="B4">
        <v>117</v>
      </c>
      <c r="C4">
        <v>194</v>
      </c>
      <c r="D4">
        <v>16</v>
      </c>
      <c r="E4">
        <f t="shared" si="0"/>
        <v>12.125</v>
      </c>
      <c r="F4">
        <f t="shared" si="1"/>
        <v>13</v>
      </c>
      <c r="G4">
        <f t="shared" si="2"/>
        <v>208</v>
      </c>
      <c r="H4">
        <f t="shared" si="3"/>
        <v>14</v>
      </c>
    </row>
    <row r="5" spans="1:11" x14ac:dyDescent="0.3">
      <c r="C5">
        <f>SUM(C2:C4)</f>
        <v>666</v>
      </c>
      <c r="F5">
        <f>SUM(F2:F4)</f>
        <v>44</v>
      </c>
      <c r="G5">
        <f t="shared" ref="G5:H5" si="4">SUM(G2:G4)</f>
        <v>704</v>
      </c>
      <c r="H5">
        <f t="shared" si="4"/>
        <v>38</v>
      </c>
    </row>
    <row r="6" spans="1:11" x14ac:dyDescent="0.3">
      <c r="C6">
        <f>C5/16</f>
        <v>41.625</v>
      </c>
    </row>
    <row r="8" spans="1:11" x14ac:dyDescent="0.3">
      <c r="D8">
        <v>80</v>
      </c>
    </row>
    <row r="9" spans="1:11" x14ac:dyDescent="0.3">
      <c r="C9">
        <v>120</v>
      </c>
      <c r="D9">
        <v>22.5</v>
      </c>
      <c r="E9">
        <v>23</v>
      </c>
    </row>
    <row r="10" spans="1:11" x14ac:dyDescent="0.3">
      <c r="C10">
        <v>100</v>
      </c>
      <c r="D10">
        <v>19.5</v>
      </c>
      <c r="E10">
        <v>20</v>
      </c>
    </row>
    <row r="11" spans="1:11" x14ac:dyDescent="0.3">
      <c r="C11">
        <v>100</v>
      </c>
      <c r="D11">
        <v>19.399999999999999</v>
      </c>
      <c r="E11">
        <v>19</v>
      </c>
    </row>
    <row r="12" spans="1:11" x14ac:dyDescent="0.3">
      <c r="C12">
        <v>80</v>
      </c>
      <c r="D12">
        <v>18</v>
      </c>
    </row>
    <row r="13" spans="1:11" x14ac:dyDescent="0.3">
      <c r="C13">
        <f>SUM(C9:C12)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Hardware Conf</vt:lpstr>
      <vt:lpstr>FIO</vt:lpstr>
      <vt:lpstr>Design Input Review</vt:lpstr>
      <vt:lpstr>Sheet1</vt:lpstr>
      <vt:lpstr>Module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Desai</dc:creator>
  <cp:lastModifiedBy>Kapil Desai</cp:lastModifiedBy>
  <dcterms:created xsi:type="dcterms:W3CDTF">2015-06-05T18:17:20Z</dcterms:created>
  <dcterms:modified xsi:type="dcterms:W3CDTF">2026-02-22T16:42:00Z</dcterms:modified>
</cp:coreProperties>
</file>